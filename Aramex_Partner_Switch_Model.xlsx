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Inputs" sheetId="2" state="visible" r:id="rId4"/>
    <sheet name="Model" sheetId="3" state="visible" r:id="rId5"/>
    <sheet name="Scenarios" sheetId="4" state="visible" r:id="rId6"/>
    <sheet name="Route_Screener" sheetId="5" state="visible" r:id="rId7"/>
    <sheet name="Decision" sheetId="6" state="visible" r:id="rId8"/>
    <sheet name="KPI_Baseline" sheetId="7" state="visible" r:id="rId9"/>
    <sheet name="Data_Quality" sheetId="8" state="visible" r:id="rId10"/>
    <sheet name="Partner_Data" sheetId="9" state="visible" r:id="rId11"/>
    <sheet name="Lists" sheetId="10" state="visible" r:id="rId12"/>
    <sheet name="Formula_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<sst xmlns="http://schemas.openxmlformats.org/spreadsheetml/2006/main" count="438" uniqueCount="251">
  <si>
    <t xml:space="preserve">Project 1 — UAE Last-Mile Delivery Performance (Simulated Data)</t>
  </si>
  <si>
    <t xml:space="preserve">Excel partner-switch scenario model</t>
  </si>
  <si>
    <t xml:space="preserve">Data note</t>
  </si>
  <si>
    <t xml:space="preserve">The operational shipment dataset is simulated and was created for portfolio purposes. It is not company data and is not affiliated with Aramex. Delivery-partner names are fictional.</t>
  </si>
  <si>
    <t xml:space="preserve">Business question</t>
  </si>
  <si>
    <t xml:space="preserve">Which routes and delivery partners cause late deliveries, and what would it cost to fix them by moving volume to a different partner?</t>
  </si>
  <si>
    <t xml:space="preserve">Source of numbers</t>
  </si>
  <si>
    <t xml:space="preserve">Partner_Data holds aggregated results from the current SQL clean view (8,920 raw rows; 118 exact duplicates removed; 8,802 clean rows). Every other number in this workbook is formula-driven from Partner_Data and Inputs.</t>
  </si>
  <si>
    <t xml:space="preserve">How to use</t>
  </si>
  <si>
    <t xml:space="preserve">1) Change the blue cells on Inputs (route, current partner, alternative partner, % moved, cost adjustment, threshold). 2) Read Model. 3) Scenarios contains a live 0–100% sensitivity and ±10% cost sensitivity. 4) Route_Screener compares partner switches by emirate. 5) Decision updates automatically. For interviews, use the 0–100% scenario table and Goal Seek instructions documented in this workbook.</t>
  </si>
  <si>
    <t xml:space="preserve">On-time definition</t>
  </si>
  <si>
    <t xml:space="preserve">On-time delivery % = on-time delivered ÷ delivered shipments with a valid delivery date. Returned/lost shipments and records without a valid delivery date are excluded from the denominator.</t>
  </si>
  <si>
    <t xml:space="preserve">Cost definition</t>
  </si>
  <si>
    <t xml:space="preserve">Time period: 2025 (12 months). Annual cost changes refer to the full 2025 analysis period; monthly cost change divides by 12.</t>
  </si>
  <si>
    <t xml:space="preserve">Model logic</t>
  </si>
  <si>
    <t xml:space="preserve">Important: this is a scenario model, not causal evidence. It assumes the alternative partner maintains its observed route-level on-time rate and cost when it receives additional volume.</t>
  </si>
  <si>
    <t xml:space="preserve">Key assumption</t>
  </si>
  <si>
    <t xml:space="preserve">Maximum acceptable cost per extra on-time delivery (Inputs) stands in for the cost of a late delivery (customer contact, re-attempt, goodwill credit). It is an assumption, not a measured figure. Replace it with a real number if available.</t>
  </si>
  <si>
    <t xml:space="preserve">Goal Seek check</t>
  </si>
  <si>
    <t xml:space="preserve">Model shows the % moved needed to reach the target by formula. To demonstrate Goal Seek: Data → What-If Analysis → Goal Seek; Set cell = Model route on-time after switch; To value = 0.9; By changing = Inputs % moved.</t>
  </si>
  <si>
    <t xml:space="preserve">Data Table option</t>
  </si>
  <si>
    <t xml:space="preserve">Scenarios uses formulas so it recalculates everywhere. To show an Excel What-If Data Table as well: list 0%–100% in a column, put =Model route on-time after switch in the cell above-right, select the range, Data → What-If Analysis → Data Table, Column input cell = Inputs % moved.</t>
  </si>
  <si>
    <t xml:space="preserve">Limitations</t>
  </si>
  <si>
    <t xml:space="preserve">Rates come from observed simulated data, so results show association, not causation. The alternative partner is assumed to keep its current on-time rate and price when it takes on extra volume. Small samples (below the Inputs threshold) are flagged.</t>
  </si>
  <si>
    <t xml:space="preserve">Colour legend</t>
  </si>
  <si>
    <t xml:space="preserve">Blue text = input you can change · Yellow fill = key assumption · Green text = link from another sheet · Black = formula · Green fill = key output.</t>
  </si>
  <si>
    <t xml:space="preserve">Inputs — change the blue cells</t>
  </si>
  <si>
    <t xml:space="preserve">All results update automatically.</t>
  </si>
  <si>
    <t xml:space="preserve">Input</t>
  </si>
  <si>
    <t xml:space="preserve">Value</t>
  </si>
  <si>
    <t xml:space="preserve">Notes</t>
  </si>
  <si>
    <t xml:space="preserve">Route (destination emirate)</t>
  </si>
  <si>
    <t xml:space="preserve">Ras Al Khaimah</t>
  </si>
  <si>
    <t xml:space="preserve">Choose one emirate or 'All emirates'.</t>
  </si>
  <si>
    <t xml:space="preserve">Current delivery partner</t>
  </si>
  <si>
    <t xml:space="preserve">C03</t>
  </si>
  <si>
    <t xml:space="preserve">Partner whose volume is moved.</t>
  </si>
  <si>
    <t xml:space="preserve">Alternative delivery partner</t>
  </si>
  <si>
    <t xml:space="preserve">C02</t>
  </si>
  <si>
    <t xml:space="preserve">Partner that takes the volume. Use Route_Screener to pick it.</t>
  </si>
  <si>
    <t xml:space="preserve">% of current partner's route volume moved</t>
  </si>
  <si>
    <t xml:space="preserve">0% to 100%.</t>
  </si>
  <si>
    <t xml:space="preserve">Alternative partner cost adjustment</t>
  </si>
  <si>
    <t xml:space="preserve">Price change the alternative partner may charge for extra volume (e.g. +10%). Tested at ±10% on Scenarios.</t>
  </si>
  <si>
    <t xml:space="preserve">Target on-time %</t>
  </si>
  <si>
    <t xml:space="preserve">Operational target from the blueprint.</t>
  </si>
  <si>
    <t xml:space="preserve">Max acceptable cost per extra on-time delivery (AED)</t>
  </si>
  <si>
    <t xml:space="preserve">ASSUMPTION: proxy for the cost of one late delivery (customer contact, re-attempt, goodwill credit). Replace with a real figure if available.</t>
  </si>
  <si>
    <t xml:space="preserve">Months in data</t>
  </si>
  <si>
    <t xml:space="preserve">Dataset covers Jan–Dec 2025.</t>
  </si>
  <si>
    <t xml:space="preserve">Minimum delivered shipments for a reliable rate</t>
  </si>
  <si>
    <t xml:space="preserve">Rates based on fewer delivered shipments are flagged as small samples.</t>
  </si>
  <si>
    <t xml:space="preserve">Selected partners</t>
  </si>
  <si>
    <t xml:space="preserve">Current partner name</t>
  </si>
  <si>
    <t xml:space="preserve">Alternative partner name</t>
  </si>
  <si>
    <t xml:space="preserve">Check</t>
  </si>
  <si>
    <t xml:space="preserve">Legend: blue = input · yellow = key assumption · black = formula · green text = link from another sheet</t>
  </si>
  <si>
    <t xml:space="preserve">Model — partner-switch calculation</t>
  </si>
  <si>
    <t xml:space="preserve">All cells are formulas. Change inputs on the Inputs sheet.</t>
  </si>
  <si>
    <t xml:space="preserve">Scenario inputs (linked)</t>
  </si>
  <si>
    <t xml:space="preserve">Route</t>
  </si>
  <si>
    <t xml:space="preserve">Current partner</t>
  </si>
  <si>
    <t xml:space="preserve">Alternative partner</t>
  </si>
  <si>
    <t xml:space="preserve">% moved</t>
  </si>
  <si>
    <t xml:space="preserve">Alternative cost adjustment</t>
  </si>
  <si>
    <t xml:space="preserve">Current partner on this route</t>
  </si>
  <si>
    <t xml:space="preserve">Shipments</t>
  </si>
  <si>
    <t xml:space="preserve">Delivered (valid date)</t>
  </si>
  <si>
    <t xml:space="preserve">On-time delivered</t>
  </si>
  <si>
    <t xml:space="preserve">On-time %</t>
  </si>
  <si>
    <t xml:space="preserve">Cost per shipment (AED)</t>
  </si>
  <si>
    <t xml:space="preserve">Alternative partner on this route</t>
  </si>
  <si>
    <t xml:space="preserve">Cost per shipment before adjustment (AED)</t>
  </si>
  <si>
    <t xml:space="preserve">Cost per shipment after adjustment (AED)</t>
  </si>
  <si>
    <t xml:space="preserve">Sample check</t>
  </si>
  <si>
    <t xml:space="preserve">Flags rates based on fewer delivered shipments than the Inputs minimum.</t>
  </si>
  <si>
    <t xml:space="preserve">Route and company baseline</t>
  </si>
  <si>
    <t xml:space="preserve">Route delivered (all partners)</t>
  </si>
  <si>
    <t xml:space="preserve">Route on-time delivered</t>
  </si>
  <si>
    <t xml:space="preserve">Route on-time %</t>
  </si>
  <si>
    <t xml:space="preserve">Company delivered (all routes)</t>
  </si>
  <si>
    <t xml:space="preserve">Company on-time delivered</t>
  </si>
  <si>
    <t xml:space="preserve">Company on-time %</t>
  </si>
  <si>
    <t xml:space="preserve">Scenario results (full year 2025)</t>
  </si>
  <si>
    <t xml:space="preserve">Shipments moved</t>
  </si>
  <si>
    <t xml:space="preserve">Delivered shipments moved</t>
  </si>
  <si>
    <t xml:space="preserve">On-time gap: alternative − current</t>
  </si>
  <si>
    <t xml:space="preserve">Extra on-time deliveries per year</t>
  </si>
  <si>
    <t xml:space="preserve">Route on-time % after switch</t>
  </si>
  <si>
    <t xml:space="preserve">Route change (percentage points)</t>
  </si>
  <si>
    <t xml:space="preserve">Company on-time % after switch</t>
  </si>
  <si>
    <t xml:space="preserve">Company change (percentage points)</t>
  </si>
  <si>
    <t xml:space="preserve">Cost change per moved shipment (AED)</t>
  </si>
  <si>
    <t xml:space="preserve">Annual cost change (AED)</t>
  </si>
  <si>
    <t xml:space="preserve">Monthly cost change (AED)</t>
  </si>
  <si>
    <t xml:space="preserve">Cost per extra on-time delivery (AED)</t>
  </si>
  <si>
    <t xml:space="preserve">Negative = the switch saves money while improving reliability.</t>
  </si>
  <si>
    <t xml:space="preserve">Decision rule result</t>
  </si>
  <si>
    <t xml:space="preserve">Target check (Goal Seek equivalent)</t>
  </si>
  <si>
    <t xml:space="preserve">Route on-time % if 100% moved</t>
  </si>
  <si>
    <t xml:space="preserve">% moved needed to reach target on this route</t>
  </si>
  <si>
    <t xml:space="preserve">Same answer Goal Seek gives: set route on-time after switch = target by changing Inputs % moved.</t>
  </si>
  <si>
    <t xml:space="preserve">Scenarios — live formula-driven sensitivity (0–100% moved)</t>
  </si>
  <si>
    <t xml:space="preserve">Extra on-time / yr</t>
  </si>
  <si>
    <t xml:space="preserve">Cost per extra on-time (AED)</t>
  </si>
  <si>
    <t xml:space="preserve">% moved needed / target check</t>
  </si>
  <si>
    <t xml:space="preserve">Sensitivity: alternative partner cost ±10% (at the selected % moved)</t>
  </si>
  <si>
    <t xml:space="preserve">Cost adjustment</t>
  </si>
  <si>
    <t xml:space="preserve">Alt cost / shipment (AED)</t>
  </si>
  <si>
    <t xml:space="preserve">Decision</t>
  </si>
  <si>
    <t xml:space="preserve">Holds vs base?</t>
  </si>
  <si>
    <t xml:space="preserve">Conclusion</t>
  </si>
  <si>
    <t xml:space="preserve">Model note</t>
  </si>
  <si>
    <t xml:space="preserve">Rows 6–16 are live formulas covering 0%–100% volume moved. They are intentionally transparent and recalculate when Inputs change. For an interview demonstration, use Excel What-If Data Table/Goal Seek with the same input/output cells documented in README.</t>
  </si>
  <si>
    <t xml:space="preserve">Interview check</t>
  </si>
  <si>
    <t xml:space="preserve">Base case is set to 100% moved. Goal Seek should be used only as a target-check exercise; the model also shows the maximum achievable on-time rate.</t>
  </si>
  <si>
    <t xml:space="preserve">Route_Screener — every possible switch for the current partner</t>
  </si>
  <si>
    <t xml:space="preserve">Cost per extra on-time delivery (AED) if the current partner's route volume moves to each alternative. Lower is better; negative = saves money. Uses the cost adjustment on Inputs.</t>
  </si>
  <si>
    <t xml:space="preserve">Current on-time %</t>
  </si>
  <si>
    <t xml:space="preserve">C01</t>
  </si>
  <si>
    <t xml:space="preserve">C04</t>
  </si>
  <si>
    <t xml:space="preserve">C05</t>
  </si>
  <si>
    <t xml:space="preserve">Abu Dhabi</t>
  </si>
  <si>
    <t xml:space="preserve">Ajman</t>
  </si>
  <si>
    <t xml:space="preserve">Dubai</t>
  </si>
  <si>
    <t xml:space="preserve">Fujairah</t>
  </si>
  <si>
    <t xml:space="preserve">Sharjah</t>
  </si>
  <si>
    <t xml:space="preserve">Umm Al Quwain</t>
  </si>
  <si>
    <t xml:space="preserve">All emirates</t>
  </si>
  <si>
    <t xml:space="preserve">Sample sizes (delivered shipments with a valid date). Cells below the Inputs minimum are shaded orange.</t>
  </si>
  <si>
    <t xml:space="preserve">Current delivered</t>
  </si>
  <si>
    <t xml:space="preserve">C01 delivered</t>
  </si>
  <si>
    <t xml:space="preserve">C02 delivered</t>
  </si>
  <si>
    <t xml:space="preserve">C03 delivered</t>
  </si>
  <si>
    <t xml:space="preserve">C04 delivered</t>
  </si>
  <si>
    <t xml:space="preserve">C05 delivered</t>
  </si>
  <si>
    <t xml:space="preserve">Green = within the cost threshold on Inputs; red = above it. Check the sample table before recommending a small-sample cell.</t>
  </si>
  <si>
    <t xml:space="preserve">Business decision (updates with Inputs)</t>
  </si>
  <si>
    <t xml:space="preserve">1. Finding</t>
  </si>
  <si>
    <t xml:space="preserve">2. Why it matters</t>
  </si>
  <si>
    <t xml:space="preserve">3. Recommendation</t>
  </si>
  <si>
    <t xml:space="preserve">4. Limitation</t>
  </si>
  <si>
    <t xml:space="preserve">Sensitivity check</t>
  </si>
  <si>
    <t xml:space="preserve">KPI_Baseline — current state, 2025</t>
  </si>
  <si>
    <t xml:space="preserve">KPI</t>
  </si>
  <si>
    <t xml:space="preserve">Company</t>
  </si>
  <si>
    <t xml:space="preserve">Definition</t>
  </si>
  <si>
    <t xml:space="preserve">All shipments after removing duplicates</t>
  </si>
  <si>
    <t xml:space="preserve">On-time delivery %</t>
  </si>
  <si>
    <t xml:space="preserve">On-time delivered ÷ delivered with a valid date</t>
  </si>
  <si>
    <t xml:space="preserve">Average delay (days, late only)</t>
  </si>
  <si>
    <t xml:space="preserve">Mean of actual − promised days for late deliveries</t>
  </si>
  <si>
    <t xml:space="preserve">Total cost ÷ shipments with a recorded cost</t>
  </si>
  <si>
    <t xml:space="preserve">Cost per kg (AED)</t>
  </si>
  <si>
    <t xml:space="preserve">Total cost ÷ total weight (rows with both)</t>
  </si>
  <si>
    <t xml:space="preserve">Return / loss rate</t>
  </si>
  <si>
    <t xml:space="preserve">Returned or lost ÷ all shipments</t>
  </si>
  <si>
    <t xml:space="preserve">Partner</t>
  </si>
  <si>
    <t xml:space="preserve">Name</t>
  </si>
  <si>
    <t xml:space="preserve">Avg delay (days)</t>
  </si>
  <si>
    <t xml:space="preserve">Cost / shipment (AED)</t>
  </si>
  <si>
    <t xml:space="preserve">Emirate</t>
  </si>
  <si>
    <t xml:space="preserve">Data_Quality — scorecard</t>
  </si>
  <si>
    <t xml:space="preserve">Counts from the SQL data-quality step. Check they match your own SQL results.</t>
  </si>
  <si>
    <t xml:space="preserve">Counts from the current SQL data-quality step. These should match the SQL output used for Partner_Data.</t>
  </si>
  <si>
    <t xml:space="preserve">Rows affected</t>
  </si>
  <si>
    <t xml:space="preserve">Action</t>
  </si>
  <si>
    <t xml:space="preserve">Reason</t>
  </si>
  <si>
    <t xml:space="preserve">Raw rows loaded</t>
  </si>
  <si>
    <t xml:space="preserve">—</t>
  </si>
  <si>
    <t xml:space="preserve">Starting point</t>
  </si>
  <si>
    <t xml:space="preserve">Exact duplicate rows</t>
  </si>
  <si>
    <t xml:space="preserve">Removed</t>
  </si>
  <si>
    <t xml:space="preserve">Same shipment recorded twice would double-count volume and cost</t>
  </si>
  <si>
    <t xml:space="preserve">Non-standard emirate names (codes, spelling, case, spaces)</t>
  </si>
  <si>
    <t xml:space="preserve">Standardised to 7 official names</t>
  </si>
  <si>
    <t xml:space="preserve">DXB, dubai, 'Dubai ' etc. would split one emirate into several groups</t>
  </si>
  <si>
    <t xml:space="preserve">Missing weight_kg</t>
  </si>
  <si>
    <t xml:space="preserve">Kept; excluded from cost per kg only</t>
  </si>
  <si>
    <t xml:space="preserve">Row is still a valid shipment for volume, on-time and cost per shipment</t>
  </si>
  <si>
    <t xml:space="preserve">shipping_cost_aed = 0</t>
  </si>
  <si>
    <t xml:space="preserve">Treated as missing; excluded from cost averages</t>
  </si>
  <si>
    <t xml:space="preserve">A delivered shipment cannot cost zero; including zeros would understate cost</t>
  </si>
  <si>
    <t xml:space="preserve">Delivered date before dispatch date</t>
  </si>
  <si>
    <t xml:space="preserve">Kept for volume and cost; excluded from on-time KPIs</t>
  </si>
  <si>
    <t xml:space="preserve">Likely data-entry error; true delivery time is unknown</t>
  </si>
  <si>
    <t xml:space="preserve">Returned / lost with no delivered date</t>
  </si>
  <si>
    <t xml:space="preserve">Expected; excluded from on-time denominator</t>
  </si>
  <si>
    <t xml:space="preserve">Not an error: these shipments were never delivered</t>
  </si>
  <si>
    <t xml:space="preserve">Clean rows for analysis</t>
  </si>
  <si>
    <t xml:space="preserve">After removing duplicates</t>
  </si>
  <si>
    <t xml:space="preserve">Partner_Data — aggregated SQL output (clean view)</t>
  </si>
  <si>
    <t xml:space="preserve">One row per delivery partner × emirate, plus an 'All emirates' row per partner. Values pasted from SQL; do not edit.</t>
  </si>
  <si>
    <t xml:space="preserve">carrier_id</t>
  </si>
  <si>
    <t xml:space="preserve">carrier_name</t>
  </si>
  <si>
    <t xml:space="preserve">emirate</t>
  </si>
  <si>
    <t xml:space="preserve">shipments</t>
  </si>
  <si>
    <t xml:space="preserve">delivered_valid</t>
  </si>
  <si>
    <t xml:space="preserve">on_time</t>
  </si>
  <si>
    <t xml:space="preserve">late</t>
  </si>
  <si>
    <t xml:space="preserve">late_days_sum</t>
  </si>
  <si>
    <t xml:space="preserve">returned</t>
  </si>
  <si>
    <t xml:space="preserve">lost</t>
  </si>
  <si>
    <t xml:space="preserve">cost_rows</t>
  </si>
  <si>
    <t xml:space="preserve">cost_sum_aed</t>
  </si>
  <si>
    <t xml:space="preserve">kg_cost_sum_aed</t>
  </si>
  <si>
    <t xml:space="preserve">kg_weight_sum</t>
  </si>
  <si>
    <t xml:space="preserve">Falcon Fleet</t>
  </si>
  <si>
    <t xml:space="preserve">DesertLink Express</t>
  </si>
  <si>
    <t xml:space="preserve">CityHop Riders</t>
  </si>
  <si>
    <t xml:space="preserve">Gulf Route Logistics</t>
  </si>
  <si>
    <t xml:space="preserve">Oasis Couriers</t>
  </si>
  <si>
    <t xml:space="preserve">Lists (dropdown sources)</t>
  </si>
  <si>
    <t xml:space="preserve">Routes</t>
  </si>
  <si>
    <t xml:space="preserve">Partners</t>
  </si>
  <si>
    <t xml:space="preserve">Partner name</t>
  </si>
  <si>
    <t xml:space="preserve">Formula Audit — Interviewer Check</t>
  </si>
  <si>
    <t xml:space="preserve">Input cell</t>
  </si>
  <si>
    <t xml:space="preserve">Purpose</t>
  </si>
  <si>
    <t xml:space="preserve">Expected behavior</t>
  </si>
  <si>
    <t xml:space="preserve">Inputs!B5</t>
  </si>
  <si>
    <t xml:space="preserve">Dropdown; changing it recalculates route metrics</t>
  </si>
  <si>
    <t xml:space="preserve">Inputs!B6</t>
  </si>
  <si>
    <t xml:space="preserve">Dropdown; changing it recalculates current-partner metrics</t>
  </si>
  <si>
    <t xml:space="preserve">Inputs!B7</t>
  </si>
  <si>
    <t xml:space="preserve">Dropdown; changing it recalculates alternative metrics</t>
  </si>
  <si>
    <t xml:space="preserve">Inputs!B8</t>
  </si>
  <si>
    <t xml:space="preserve">% volume moved</t>
  </si>
  <si>
    <t xml:space="preserve">0–100%; drives Model and Scenarios</t>
  </si>
  <si>
    <t xml:space="preserve">Inputs!B9</t>
  </si>
  <si>
    <t xml:space="preserve">Price change for the alternative partner; tested at ±10% on Scenarios.</t>
  </si>
  <si>
    <t xml:space="preserve">Model!B15</t>
  </si>
  <si>
    <t xml:space="preserve">Current route on-time %</t>
  </si>
  <si>
    <t xml:space="preserve">Formula from Partner_Data</t>
  </si>
  <si>
    <t xml:space="preserve">Model!B22</t>
  </si>
  <si>
    <t xml:space="preserve">Alternative route on-time %</t>
  </si>
  <si>
    <t xml:space="preserve">Model!B40</t>
  </si>
  <si>
    <t xml:space="preserve">Route on-time after switch</t>
  </si>
  <si>
    <t xml:space="preserve">Formula driven by % moved</t>
  </si>
  <si>
    <t xml:space="preserve">Model!B45</t>
  </si>
  <si>
    <t xml:space="preserve">Annual cost change</t>
  </si>
  <si>
    <t xml:space="preserve">Formula driven by % moved and cost adjustment</t>
  </si>
  <si>
    <t xml:space="preserve">Model!B47</t>
  </si>
  <si>
    <t xml:space="preserve">Cost per extra on-time delivery</t>
  </si>
  <si>
    <t xml:space="preserve">Formula driven by scenario results</t>
  </si>
  <si>
    <t xml:space="preserve">Model!B53</t>
  </si>
  <si>
    <t xml:space="preserve">Target check</t>
  </si>
  <si>
    <t xml:space="preserve">Formula determines whether target is achievable</t>
  </si>
  <si>
    <t xml:space="preserve">Scenarios!A6:G16</t>
  </si>
  <si>
    <t xml:space="preserve">0–100% sensitivity</t>
  </si>
  <si>
    <t xml:space="preserve">Live formulas; no pasted scenario results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</si>
</sst>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%"/>
    <numFmt numFmtId="166" formatCode="0.0%;\(0.0%\);\-"/>
    <numFmt numFmtId="167" formatCode="#,##0.00;\(#,##0.00\);\-"/>
    <numFmt numFmtId="168" formatCode="0"/>
    <numFmt numFmtId="169" formatCode="#,##0;\(#,##0\);\-"/>
    <numFmt numFmtId="170" formatCode="0.0&quot; pp&quot;;\(0.0&quot; pp)&quot;;\-"/>
    <numFmt numFmtId="171" formatCode="\+0%;\-0%;0%"/>
    <numFmt numFmtId="172" formatCode="0.00"/>
    <numFmt numFmtId="173" formatCode="#,##0"/>
    <numFmt numFmtId="174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AF7"/>
      </patternFill>
    </fill>
    <fill>
      <patternFill patternType="solid">
        <fgColor rgb="FFE2EFDA"/>
        <bgColor rgb="FFD9EAF7"/>
      </patternFill>
    </fill>
    <fill>
      <patternFill patternType="solid">
        <fgColor rgb="FF1F4E78"/>
        <bgColor rgb="FF1F3864"/>
      </patternFill>
    </fill>
    <fill>
      <patternFill patternType="solid">
        <fgColor rgb="FFD9EA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E2EFDA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Route on-time % by share of volume moved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Scenarios!B5</c:f>
              <c:strCache>
                <c:ptCount val="1"/>
                <c:pt idx="0">
                  <c:v>Route on-time 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Scenarios!$A$6:$A$16</c:f>
              <c:strCache>
                <c:ptCount val="11"/>
                <c:pt idx="0">
                  <c:v>0%</c:v>
                </c:pt>
                <c:pt idx="1">
                  <c:v>10%</c:v>
                </c:pt>
                <c:pt idx="2">
                  <c:v>20%</c:v>
                </c:pt>
                <c:pt idx="3">
                  <c:v>30%</c:v>
                </c:pt>
                <c:pt idx="4">
                  <c:v>40%</c:v>
                </c:pt>
                <c:pt idx="5">
                  <c:v>50%</c:v>
                </c:pt>
                <c:pt idx="6">
                  <c:v>60%</c:v>
                </c:pt>
                <c:pt idx="7">
                  <c:v>70%</c:v>
                </c:pt>
                <c:pt idx="8">
                  <c:v>80%</c:v>
                </c:pt>
                <c:pt idx="9">
                  <c:v>90%</c:v>
                </c:pt>
                <c:pt idx="10">
                  <c:v>100%</c:v>
                </c:pt>
              </c:strCache>
            </c:strRef>
          </c:cat>
          <c:val>
            <c:numRef>
              <c:f>Scenarios!$B$6:$B$16</c:f>
              <c:numCache>
                <c:formatCode>0.0%;\(0.0%\);\-</c:formatCode>
                <c:ptCount val="11"/>
                <c:pt idx="0">
                  <c:v>0.82</c:v>
                </c:pt>
                <c:pt idx="1">
                  <c:v>0.825185365853659</c:v>
                </c:pt>
                <c:pt idx="2">
                  <c:v>0.830370731707317</c:v>
                </c:pt>
                <c:pt idx="3">
                  <c:v>0.835556097560976</c:v>
                </c:pt>
                <c:pt idx="4">
                  <c:v>0.840741463414634</c:v>
                </c:pt>
                <c:pt idx="5">
                  <c:v>0.845926829268293</c:v>
                </c:pt>
                <c:pt idx="6">
                  <c:v>0.851112195121951</c:v>
                </c:pt>
                <c:pt idx="7">
                  <c:v>0.85629756097561</c:v>
                </c:pt>
                <c:pt idx="8">
                  <c:v>0.861482926829268</c:v>
                </c:pt>
                <c:pt idx="9">
                  <c:v>0.866668292682927</c:v>
                </c:pt>
                <c:pt idx="10">
                  <c:v>0.871853658536585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453838"/>
        <c:axId val="98708816"/>
      </c:lineChart>
      <c:catAx>
        <c:axId val="784538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% moved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708816"/>
        <c:crosses val="autoZero"/>
        <c:auto val="1"/>
        <c:lblAlgn val="ctr"/>
        <c:lblOffset val="100"/>
        <c:noMultiLvlLbl val="0"/>
      </c:catAx>
      <c:valAx>
        <c:axId val="987088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On-time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4538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160920</xdr:rowOff>
    </xdr:from>
    <xdr:to>
      <xdr:col>17</xdr:col>
      <xdr:colOff>255240</xdr:colOff>
      <xdr:row>17</xdr:row>
      <xdr:rowOff>42120</xdr:rowOff>
    </xdr:to>
    <xdr:graphicFrame>
      <xdr:nvGraphicFramePr>
        <xdr:cNvPr id="0" name="Chart 1"/>
        <xdr:cNvGraphicFramePr/>
      </xdr:nvGraphicFramePr>
      <xdr:xfrm>
        <a:off x="8928720" y="761040"/>
        <a:ext cx="5758920" cy="269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false" outlineLevel="0" collapsed="false"/>
    <row r="4" customFormat="false" ht="30" hidden="false" customHeight="true" outlineLevel="0" collapsed="false">
      <c r="A4" s="4" t="s">
        <v>2</v>
      </c>
      <c r="B4" s="5" t="s">
        <v>3</v>
      </c>
    </row>
    <row r="5" customFormat="false" ht="30" hidden="false" customHeight="true" outlineLevel="0" collapsed="false">
      <c r="A5" s="4" t="s">
        <v>4</v>
      </c>
      <c r="B5" s="5" t="s">
        <v>5</v>
      </c>
    </row>
    <row r="6" customFormat="false" ht="45" hidden="false" customHeight="true" outlineLevel="0" collapsed="false">
      <c r="A6" s="4" t="s">
        <v>6</v>
      </c>
      <c r="B6" s="5" t="s">
        <v>7</v>
      </c>
    </row>
    <row r="7" customFormat="false" ht="60" hidden="false" customHeight="true" outlineLevel="0" collapsed="false">
      <c r="A7" s="4" t="s">
        <v>8</v>
      </c>
      <c r="B7" s="5" t="s">
        <v>9</v>
      </c>
    </row>
    <row r="8" customFormat="false" ht="30" hidden="false" customHeight="true" outlineLevel="0" collapsed="false">
      <c r="A8" s="4" t="s">
        <v>10</v>
      </c>
      <c r="B8" s="5" t="s">
        <v>11</v>
      </c>
    </row>
    <row r="9" customFormat="false" ht="30" hidden="false" customHeight="true" outlineLevel="0" collapsed="false">
      <c r="A9" s="4" t="s">
        <v>12</v>
      </c>
      <c r="B9" s="5" t="s">
        <v>13</v>
      </c>
    </row>
    <row r="10" customFormat="false" ht="60" hidden="false" customHeight="true" outlineLevel="0" collapsed="false">
      <c r="A10" s="4" t="s">
        <v>14</v>
      </c>
      <c r="B10" s="5" t="s">
        <v>15</v>
      </c>
    </row>
    <row r="11" customFormat="false" ht="45" hidden="false" customHeight="true" outlineLevel="0" collapsed="false">
      <c r="A11" s="4" t="s">
        <v>16</v>
      </c>
      <c r="B11" s="5" t="s">
        <v>17</v>
      </c>
    </row>
    <row r="12" customFormat="false" ht="45" hidden="false" customHeight="true" outlineLevel="0" collapsed="false">
      <c r="A12" s="4" t="s">
        <v>18</v>
      </c>
      <c r="B12" s="5" t="s">
        <v>19</v>
      </c>
    </row>
    <row r="13" customFormat="false" ht="45" hidden="false" customHeight="true" outlineLevel="0" collapsed="false">
      <c r="A13" s="4" t="s">
        <v>20</v>
      </c>
      <c r="B13" s="5" t="s">
        <v>21</v>
      </c>
    </row>
    <row r="14" customFormat="false" ht="45" hidden="false" customHeight="true" outlineLevel="0" collapsed="false">
      <c r="A14" s="4" t="s">
        <v>22</v>
      </c>
      <c r="B14" s="5" t="s">
        <v>23</v>
      </c>
    </row>
    <row r="15" customFormat="false" ht="30" hidden="false" customHeight="true" outlineLevel="0" collapsed="false">
      <c r="A15" s="4" t="s">
        <v>24</v>
      </c>
      <c r="B15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8"/>
    <col collapsed="false" customWidth="true" hidden="false" outlineLevel="0" max="3" min="3" style="1" width="80"/>
  </cols>
  <sheetData>
    <row r="1" customFormat="false" ht="17.25" hidden="false" customHeight="true" outlineLevel="0" collapsed="false">
      <c r="A1" s="2" t="s">
        <v>26</v>
      </c>
    </row>
    <row r="2" customFormat="false" ht="15" hidden="false" customHeight="true" outlineLevel="0" collapsed="false">
      <c r="A2" s="3" t="s">
        <v>27</v>
      </c>
    </row>
    <row r="4" customFormat="false" ht="15" hidden="false" customHeight="true" outlineLevel="0" collapsed="false">
      <c r="A4" s="6" t="s">
        <v>28</v>
      </c>
      <c r="B4" s="6" t="s">
        <v>29</v>
      </c>
      <c r="C4" s="6" t="s">
        <v>30</v>
      </c>
    </row>
    <row r="5" customFormat="false" ht="15" hidden="false" customHeight="true" outlineLevel="0" collapsed="false">
      <c r="A5" s="7" t="s">
        <v>31</v>
      </c>
      <c r="B5" s="8" t="s">
        <v>32</v>
      </c>
      <c r="C5" s="5" t="s">
        <v>33</v>
      </c>
    </row>
    <row r="6" customFormat="false" ht="15" hidden="false" customHeight="true" outlineLevel="0" collapsed="false">
      <c r="A6" s="7" t="s">
        <v>34</v>
      </c>
      <c r="B6" s="8" t="s">
        <v>35</v>
      </c>
      <c r="C6" s="5" t="s">
        <v>36</v>
      </c>
    </row>
    <row r="7" customFormat="false" ht="15" hidden="false" customHeight="true" outlineLevel="0" collapsed="false">
      <c r="A7" s="7" t="s">
        <v>37</v>
      </c>
      <c r="B7" s="8" t="s">
        <v>38</v>
      </c>
      <c r="C7" s="5" t="s">
        <v>39</v>
      </c>
    </row>
    <row r="8" customFormat="false" ht="15" hidden="false" customHeight="true" outlineLevel="0" collapsed="false">
      <c r="A8" s="7" t="s">
        <v>40</v>
      </c>
      <c r="B8" s="9" t="n">
        <v>1</v>
      </c>
      <c r="C8" s="5" t="s">
        <v>41</v>
      </c>
    </row>
    <row r="9" customFormat="false" ht="26.25" hidden="false" customHeight="true" outlineLevel="0" collapsed="false">
      <c r="A9" s="7" t="s">
        <v>42</v>
      </c>
      <c r="B9" s="10" t="n">
        <v>0</v>
      </c>
      <c r="C9" s="5" t="s">
        <v>43</v>
      </c>
    </row>
    <row r="10" customFormat="false" ht="15" hidden="false" customHeight="true" outlineLevel="0" collapsed="false">
      <c r="A10" s="7" t="s">
        <v>44</v>
      </c>
      <c r="B10" s="10" t="n">
        <v>0.9</v>
      </c>
      <c r="C10" s="5" t="s">
        <v>45</v>
      </c>
    </row>
    <row r="11" customFormat="false" ht="26.25" hidden="false" customHeight="true" outlineLevel="0" collapsed="false">
      <c r="A11" s="7" t="s">
        <v>46</v>
      </c>
      <c r="B11" s="11" t="n">
        <v>40</v>
      </c>
      <c r="C11" s="5" t="s">
        <v>47</v>
      </c>
    </row>
    <row r="12" customFormat="false" ht="15" hidden="false" customHeight="true" outlineLevel="0" collapsed="false">
      <c r="A12" s="7" t="s">
        <v>48</v>
      </c>
      <c r="B12" s="12" t="n">
        <v>12</v>
      </c>
      <c r="C12" s="5" t="s">
        <v>49</v>
      </c>
    </row>
    <row r="13" customFormat="false" ht="15" hidden="false" customHeight="true" outlineLevel="0" collapsed="false">
      <c r="A13" s="7" t="s">
        <v>50</v>
      </c>
      <c r="B13" s="12" t="n">
        <v>50</v>
      </c>
      <c r="C13" s="5" t="s">
        <v>51</v>
      </c>
    </row>
    <row r="16" customFormat="false" ht="15" hidden="false" customHeight="true" outlineLevel="0" collapsed="false">
      <c r="A16" s="4" t="s">
        <v>52</v>
      </c>
    </row>
    <row r="17" customFormat="false" ht="15" hidden="false" customHeight="true" outlineLevel="0" collapsed="false">
      <c r="A17" s="7" t="s">
        <v>53</v>
      </c>
      <c r="B17" s="7" t="str">
        <f aca="false">IFERROR(INDEX(Lists!$C$4:$C$8,MATCH(Inputs!$B$6,Lists!$B$4:$B$8,0)),"")</f>
        <v>CityHop Riders</v>
      </c>
    </row>
    <row r="18" customFormat="false" ht="15" hidden="false" customHeight="true" outlineLevel="0" collapsed="false">
      <c r="A18" s="7" t="s">
        <v>54</v>
      </c>
      <c r="B18" s="7" t="str">
        <f aca="false">IFERROR(INDEX(Lists!$C$4:$C$8,MATCH(Inputs!$B$7,Lists!$B$4:$B$8,0)),"")</f>
        <v>DesertLink Express</v>
      </c>
    </row>
    <row r="19" customFormat="false" ht="15" hidden="false" customHeight="true" outlineLevel="0" collapsed="false">
      <c r="A19" s="7" t="s">
        <v>55</v>
      </c>
      <c r="B19" s="7" t="str">
        <f aca="false">IF(Inputs!$B$6=Inputs!$B$7,"Choose two different partners","OK")</f>
        <v>OK</v>
      </c>
    </row>
    <row r="21" customFormat="false" ht="15" hidden="false" customHeight="true" outlineLevel="0" collapsed="false">
      <c r="A21" s="3" t="s">
        <v>56</v>
      </c>
    </row>
  </sheetData>
  <dataValidations count="3">
    <dataValidation allowBlank="false" errorStyle="stop" operator="between" showDropDown="false" showErrorMessage="false" showInputMessage="false" sqref="B5" type="list">
      <formula1>Lists!$A$4:$A$11</formula1>
      <formula2>0</formula2>
    </dataValidation>
    <dataValidation allowBlank="false" errorStyle="stop" operator="between" showDropDown="false" showErrorMessage="false" showInputMessage="false" sqref="B6:B7" type="list">
      <formula1>Lists!$B$4:$B$8</formula1>
      <formula2>0</formula2>
    </dataValidation>
    <dataValidation allowBlank="false" errorStyle="stop" operator="between" showDropDown="false" showErrorMessage="false" showInputMessage="false" sqref="B8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57</v>
      </c>
    </row>
    <row r="2" customFormat="false" ht="15" hidden="false" customHeight="true" outlineLevel="0" collapsed="false">
      <c r="A2" s="3" t="s">
        <v>58</v>
      </c>
    </row>
    <row r="4" customFormat="false" ht="15" hidden="false" customHeight="true" outlineLevel="0" collapsed="false">
      <c r="A4" s="13" t="s">
        <v>59</v>
      </c>
      <c r="B4" s="14"/>
      <c r="C4" s="14"/>
    </row>
    <row r="5" customFormat="false" ht="15" hidden="false" customHeight="true" outlineLevel="0" collapsed="false">
      <c r="A5" s="7" t="s">
        <v>60</v>
      </c>
      <c r="B5" s="15" t="str">
        <f aca="false">Inputs!$B$5</f>
        <v>Ras Al Khaimah</v>
      </c>
    </row>
    <row r="6" customFormat="false" ht="15" hidden="false" customHeight="true" outlineLevel="0" collapsed="false">
      <c r="A6" s="7" t="s">
        <v>61</v>
      </c>
      <c r="B6" s="15" t="str">
        <f aca="false">Inputs!$B$6</f>
        <v>C03</v>
      </c>
    </row>
    <row r="7" customFormat="false" ht="15" hidden="false" customHeight="true" outlineLevel="0" collapsed="false">
      <c r="A7" s="7" t="s">
        <v>62</v>
      </c>
      <c r="B7" s="15" t="str">
        <f aca="false">Inputs!$B$7</f>
        <v>C02</v>
      </c>
    </row>
    <row r="8" customFormat="false" ht="15" hidden="false" customHeight="true" outlineLevel="0" collapsed="false">
      <c r="A8" s="7" t="s">
        <v>63</v>
      </c>
      <c r="B8" s="16" t="n">
        <f aca="false">Inputs!$B$8</f>
        <v>1</v>
      </c>
    </row>
    <row r="9" customFormat="false" ht="15" hidden="false" customHeight="true" outlineLevel="0" collapsed="false">
      <c r="A9" s="7" t="s">
        <v>64</v>
      </c>
      <c r="B9" s="17" t="n">
        <f aca="false">Inputs!$B$9</f>
        <v>0</v>
      </c>
    </row>
    <row r="11" customFormat="false" ht="15" hidden="false" customHeight="true" outlineLevel="0" collapsed="false">
      <c r="A11" s="13" t="s">
        <v>65</v>
      </c>
      <c r="B11" s="14"/>
      <c r="C11" s="14"/>
    </row>
    <row r="12" customFormat="false" ht="15" hidden="false" customHeight="true" outlineLevel="0" collapsed="false">
      <c r="A12" s="7" t="s">
        <v>66</v>
      </c>
      <c r="B12" s="18" t="n">
        <f aca="false">SUMIFS(Partner_Data!$D:$D,Partner_Data!$A:$A,$B$6,Partner_Data!$C:$C,$B$5)</f>
        <v>147</v>
      </c>
    </row>
    <row r="13" customFormat="false" ht="15" hidden="false" customHeight="true" outlineLevel="0" collapsed="false">
      <c r="A13" s="7" t="s">
        <v>67</v>
      </c>
      <c r="B13" s="18" t="n">
        <f aca="false">SUMIFS(Partner_Data!$E:$E,Partner_Data!$A:$A,$B$6,Partner_Data!$C:$C,$B$5)</f>
        <v>140</v>
      </c>
    </row>
    <row r="14" customFormat="false" ht="15" hidden="false" customHeight="true" outlineLevel="0" collapsed="false">
      <c r="A14" s="7" t="s">
        <v>68</v>
      </c>
      <c r="B14" s="18" t="n">
        <f aca="false">SUMIFS(Partner_Data!$F:$F,Partner_Data!$A:$A,$B$6,Partner_Data!$C:$C,$B$5)</f>
        <v>97</v>
      </c>
    </row>
    <row r="15" customFormat="false" ht="15" hidden="false" customHeight="true" outlineLevel="0" collapsed="false">
      <c r="A15" s="7" t="s">
        <v>69</v>
      </c>
      <c r="B15" s="19" t="n">
        <f aca="false">IFERROR($B$14/$B$13,0)</f>
        <v>0.692857142857143</v>
      </c>
    </row>
    <row r="16" customFormat="false" ht="15" hidden="false" customHeight="true" outlineLevel="0" collapsed="false">
      <c r="A16" s="7" t="s">
        <v>70</v>
      </c>
      <c r="B16" s="20" t="n">
        <f aca="false">IFERROR(SUMIFS(Partner_Data!$L:$L,Partner_Data!$A:$A,$B$6,Partner_Data!$C:$C,$B$5)/SUMIFS(Partner_Data!$K:$K,Partner_Data!$A:$A,$B$6,Partner_Data!$C:$C,$B$5),0)</f>
        <v>24.2262585034014</v>
      </c>
    </row>
    <row r="18" customFormat="false" ht="15" hidden="false" customHeight="true" outlineLevel="0" collapsed="false">
      <c r="A18" s="13" t="s">
        <v>71</v>
      </c>
      <c r="B18" s="14"/>
      <c r="C18" s="14"/>
    </row>
    <row r="19" customFormat="false" ht="15" hidden="false" customHeight="true" outlineLevel="0" collapsed="false">
      <c r="A19" s="7" t="s">
        <v>66</v>
      </c>
      <c r="B19" s="18" t="n">
        <f aca="false">SUMIFS(Partner_Data!$D:$D,Partner_Data!$A:$A,$B$7,Partner_Data!$C:$C,$B$5)</f>
        <v>126</v>
      </c>
    </row>
    <row r="20" customFormat="false" ht="15" hidden="false" customHeight="true" outlineLevel="0" collapsed="false">
      <c r="A20" s="7" t="s">
        <v>67</v>
      </c>
      <c r="B20" s="18" t="n">
        <f aca="false">SUMIFS(Partner_Data!$E:$E,Partner_Data!$A:$A,$B$7,Partner_Data!$C:$C,$B$5)</f>
        <v>123</v>
      </c>
    </row>
    <row r="21" customFormat="false" ht="15" hidden="false" customHeight="true" outlineLevel="0" collapsed="false">
      <c r="A21" s="7" t="s">
        <v>68</v>
      </c>
      <c r="B21" s="18" t="n">
        <f aca="false">SUMIFS(Partner_Data!$F:$F,Partner_Data!$A:$A,$B$7,Partner_Data!$C:$C,$B$5)</f>
        <v>108</v>
      </c>
    </row>
    <row r="22" customFormat="false" ht="15" hidden="false" customHeight="true" outlineLevel="0" collapsed="false">
      <c r="A22" s="7" t="s">
        <v>69</v>
      </c>
      <c r="B22" s="19" t="n">
        <f aca="false">IFERROR($B$21/$B$20,0)</f>
        <v>0.878048780487805</v>
      </c>
    </row>
    <row r="23" customFormat="false" ht="15" hidden="false" customHeight="true" outlineLevel="0" collapsed="false">
      <c r="A23" s="7" t="s">
        <v>72</v>
      </c>
      <c r="B23" s="20" t="n">
        <f aca="false">IFERROR(SUMIFS(Partner_Data!$L:$L,Partner_Data!$A:$A,$B$7,Partner_Data!$C:$C,$B$5)/SUMIFS(Partner_Data!$K:$K,Partner_Data!$A:$A,$B$7,Partner_Data!$C:$C,$B$5),0)</f>
        <v>29.1901612903226</v>
      </c>
    </row>
    <row r="24" customFormat="false" ht="15" hidden="false" customHeight="true" outlineLevel="0" collapsed="false">
      <c r="A24" s="7" t="s">
        <v>73</v>
      </c>
      <c r="B24" s="20" t="n">
        <f aca="false">$B$23*(1+$B$9)</f>
        <v>29.1901612903226</v>
      </c>
    </row>
    <row r="25" customFormat="false" ht="15" hidden="false" customHeight="true" outlineLevel="0" collapsed="false">
      <c r="A25" s="7" t="s">
        <v>74</v>
      </c>
      <c r="B25" s="21" t="str">
        <f aca="false">IF(OR($B$20&lt;Inputs!$B$13,$B$13&lt;Inputs!$B$13),"Small sample: treat with caution","OK")</f>
        <v>OK</v>
      </c>
      <c r="C25" s="22" t="s">
        <v>75</v>
      </c>
    </row>
    <row r="27" customFormat="false" ht="15" hidden="false" customHeight="true" outlineLevel="0" collapsed="false">
      <c r="A27" s="13" t="s">
        <v>76</v>
      </c>
      <c r="B27" s="14"/>
      <c r="C27" s="14"/>
    </row>
    <row r="28" customFormat="false" ht="15" hidden="false" customHeight="true" outlineLevel="0" collapsed="false">
      <c r="A28" s="7" t="s">
        <v>77</v>
      </c>
      <c r="B28" s="18" t="n">
        <f aca="false">SUMIFS(Partner_Data!$E:$E,Partner_Data!$C:$C,$B$5)</f>
        <v>500</v>
      </c>
    </row>
    <row r="29" customFormat="false" ht="15" hidden="false" customHeight="true" outlineLevel="0" collapsed="false">
      <c r="A29" s="7" t="s">
        <v>78</v>
      </c>
      <c r="B29" s="18" t="n">
        <f aca="false">SUMIFS(Partner_Data!$F:$F,Partner_Data!$C:$C,$B$5)</f>
        <v>410</v>
      </c>
    </row>
    <row r="30" customFormat="false" ht="15" hidden="false" customHeight="true" outlineLevel="0" collapsed="false">
      <c r="A30" s="7" t="s">
        <v>79</v>
      </c>
      <c r="B30" s="19" t="n">
        <f aca="false">IFERROR($B$29/$B$28,0)</f>
        <v>0.82</v>
      </c>
    </row>
    <row r="31" customFormat="false" ht="15" hidden="false" customHeight="true" outlineLevel="0" collapsed="false">
      <c r="A31" s="7" t="s">
        <v>80</v>
      </c>
      <c r="B31" s="18" t="n">
        <f aca="false">SUMIFS(Partner_Data!$E:$E,Partner_Data!$C:$C,"All emirates")</f>
        <v>8488</v>
      </c>
    </row>
    <row r="32" customFormat="false" ht="15" hidden="false" customHeight="true" outlineLevel="0" collapsed="false">
      <c r="A32" s="7" t="s">
        <v>81</v>
      </c>
      <c r="B32" s="18" t="n">
        <f aca="false">SUMIFS(Partner_Data!$F:$F,Partner_Data!$C:$C,"All emirates")</f>
        <v>7248</v>
      </c>
    </row>
    <row r="33" customFormat="false" ht="15" hidden="false" customHeight="true" outlineLevel="0" collapsed="false">
      <c r="A33" s="7" t="s">
        <v>82</v>
      </c>
      <c r="B33" s="19" t="n">
        <f aca="false">IFERROR($B$32/$B$31,0)</f>
        <v>0.853911404335533</v>
      </c>
    </row>
    <row r="35" customFormat="false" ht="15" hidden="false" customHeight="true" outlineLevel="0" collapsed="false">
      <c r="A35" s="13" t="s">
        <v>83</v>
      </c>
      <c r="B35" s="14"/>
      <c r="C35" s="14"/>
    </row>
    <row r="36" customFormat="false" ht="15" hidden="false" customHeight="true" outlineLevel="0" collapsed="false">
      <c r="A36" s="7" t="s">
        <v>84</v>
      </c>
      <c r="B36" s="18" t="n">
        <f aca="false">$B$12*$B$8</f>
        <v>147</v>
      </c>
    </row>
    <row r="37" customFormat="false" ht="15" hidden="false" customHeight="true" outlineLevel="0" collapsed="false">
      <c r="A37" s="7" t="s">
        <v>85</v>
      </c>
      <c r="B37" s="18" t="n">
        <f aca="false">$B$13*$B$8</f>
        <v>140</v>
      </c>
    </row>
    <row r="38" customFormat="false" ht="15" hidden="false" customHeight="true" outlineLevel="0" collapsed="false">
      <c r="A38" s="7" t="s">
        <v>86</v>
      </c>
      <c r="B38" s="19" t="n">
        <f aca="false">$B$22-$B$15</f>
        <v>0.185191637630662</v>
      </c>
    </row>
    <row r="39" customFormat="false" ht="15" hidden="false" customHeight="true" outlineLevel="0" collapsed="false">
      <c r="A39" s="7" t="s">
        <v>87</v>
      </c>
      <c r="B39" s="23" t="n">
        <f aca="false">$B$37*$B$38</f>
        <v>25.9268292682927</v>
      </c>
    </row>
    <row r="40" customFormat="false" ht="15" hidden="false" customHeight="true" outlineLevel="0" collapsed="false">
      <c r="A40" s="7" t="s">
        <v>88</v>
      </c>
      <c r="B40" s="24" t="n">
        <f aca="false">IFERROR(($B$29+$B$39)/$B$28,0)</f>
        <v>0.871853658536585</v>
      </c>
    </row>
    <row r="41" customFormat="false" ht="15" hidden="false" customHeight="true" outlineLevel="0" collapsed="false">
      <c r="A41" s="7" t="s">
        <v>89</v>
      </c>
      <c r="B41" s="25" t="n">
        <f aca="false">($B$40-$B$30)*100</f>
        <v>5.18536585365854</v>
      </c>
    </row>
    <row r="42" customFormat="false" ht="15" hidden="false" customHeight="true" outlineLevel="0" collapsed="false">
      <c r="A42" s="7" t="s">
        <v>90</v>
      </c>
      <c r="B42" s="19" t="n">
        <f aca="false">IFERROR(($B$32+$B$39)/$B$31,0)</f>
        <v>0.856965931817659</v>
      </c>
    </row>
    <row r="43" customFormat="false" ht="15" hidden="false" customHeight="true" outlineLevel="0" collapsed="false">
      <c r="A43" s="7" t="s">
        <v>91</v>
      </c>
      <c r="B43" s="25" t="n">
        <f aca="false">($B$42-$B$33)*100</f>
        <v>0.305452748212687</v>
      </c>
    </row>
    <row r="44" customFormat="false" ht="15" hidden="false" customHeight="true" outlineLevel="0" collapsed="false">
      <c r="A44" s="7" t="s">
        <v>92</v>
      </c>
      <c r="B44" s="20" t="n">
        <f aca="false">$B$24-$B$16</f>
        <v>4.96390278692122</v>
      </c>
    </row>
    <row r="45" customFormat="false" ht="15" hidden="false" customHeight="true" outlineLevel="0" collapsed="false">
      <c r="A45" s="7" t="s">
        <v>93</v>
      </c>
      <c r="B45" s="20" t="n">
        <f aca="false">$B$36*$B$44</f>
        <v>729.693709677419</v>
      </c>
    </row>
    <row r="46" customFormat="false" ht="15" hidden="false" customHeight="true" outlineLevel="0" collapsed="false">
      <c r="A46" s="7" t="s">
        <v>94</v>
      </c>
      <c r="B46" s="26" t="n">
        <f aca="false">$B$45/Inputs!$B$12</f>
        <v>60.807809139785</v>
      </c>
    </row>
    <row r="47" customFormat="false" ht="15" hidden="false" customHeight="true" outlineLevel="0" collapsed="false">
      <c r="A47" s="7" t="s">
        <v>95</v>
      </c>
      <c r="B47" s="26" t="n">
        <f aca="false">IF($B$39&gt;0,$B$45/$B$39,"n/a")</f>
        <v>28.1443481625345</v>
      </c>
      <c r="C47" s="22" t="s">
        <v>96</v>
      </c>
    </row>
    <row r="48" customFormat="false" ht="15" hidden="false" customHeight="true" outlineLevel="0" collapsed="false">
      <c r="A48" s="7" t="s">
        <v>97</v>
      </c>
      <c r="B48" s="27" t="str">
        <f aca="false">IF(Inputs!$B$6=Inputs!$B$7,"Choose two different partners",IF($B$39&lt;=0,"Do not switch: no reliability gain",IF($B$45&lt;=0,"Proceed: improves reliability and saves cost",IF($B$47&lt;=Inputs!$B$11,"Proceed: cost per extra on-time delivery is within threshold","Do not proceed: cost per extra on-time delivery exceeds threshold"))))</f>
        <v>Proceed: cost per extra on-time delivery is within threshold</v>
      </c>
    </row>
    <row r="50" customFormat="false" ht="15" hidden="false" customHeight="true" outlineLevel="0" collapsed="false">
      <c r="A50" s="13" t="s">
        <v>98</v>
      </c>
      <c r="B50" s="14"/>
      <c r="C50" s="14"/>
    </row>
    <row r="51" customFormat="false" ht="15" hidden="false" customHeight="true" outlineLevel="0" collapsed="false">
      <c r="A51" s="7" t="s">
        <v>44</v>
      </c>
      <c r="B51" s="17" t="n">
        <f aca="false">Inputs!$B$10</f>
        <v>0.9</v>
      </c>
    </row>
    <row r="52" customFormat="false" ht="15" hidden="false" customHeight="true" outlineLevel="0" collapsed="false">
      <c r="A52" s="7" t="s">
        <v>99</v>
      </c>
      <c r="B52" s="19" t="n">
        <f aca="false">IFERROR(($B$29+$B$13*$B$38)/$B$28,0)</f>
        <v>0.871853658536585</v>
      </c>
    </row>
    <row r="53" customFormat="false" ht="26.25" hidden="false" customHeight="true" outlineLevel="0" collapsed="false">
      <c r="A53" s="7" t="s">
        <v>100</v>
      </c>
      <c r="B53" s="19" t="str">
        <f aca="false">IF($B$30&gt;=$B$51,"Already at target",IF($B$38&lt;=0,"Not achievable: no gain",IF(($B$51*$B$28-$B$29)/($B$13*$B$38)&gt;1,"Not achievable with this switch alone",($B$51*$B$28-$B$29)/($B$13*$B$38))))</f>
        <v>Not achievable with this switch alone</v>
      </c>
      <c r="C53" s="22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6"/>
    <col collapsed="false" customWidth="true" hidden="false" outlineLevel="0" max="6" min="5" style="1" width="18"/>
    <col collapsed="false" customWidth="true" hidden="false" outlineLevel="0" max="7" min="7" style="1" width="20"/>
  </cols>
  <sheetData>
    <row r="1" customFormat="false" ht="17.25" hidden="false" customHeight="true" outlineLevel="0" collapsed="false">
      <c r="A1" s="2" t="s">
        <v>102</v>
      </c>
    </row>
    <row r="3" customFormat="false" ht="15" hidden="false" customHeight="true" outlineLevel="0" collapsed="false">
      <c r="A3" s="4" t="str">
        <f aca="false">"Route: "&amp;Model!$B$5&amp;" · "&amp;Model!$B$6&amp;" → "&amp;Model!$B$7</f>
        <v>Route: Ras Al Khaimah · C03 → C02</v>
      </c>
    </row>
    <row r="5" customFormat="false" ht="26.25" hidden="false" customHeight="true" outlineLevel="0" collapsed="false">
      <c r="A5" s="6" t="s">
        <v>63</v>
      </c>
      <c r="B5" s="6" t="s">
        <v>79</v>
      </c>
      <c r="C5" s="6" t="s">
        <v>82</v>
      </c>
      <c r="D5" s="6" t="s">
        <v>103</v>
      </c>
      <c r="E5" s="6" t="s">
        <v>93</v>
      </c>
      <c r="F5" s="6" t="s">
        <v>94</v>
      </c>
      <c r="G5" s="6" t="s">
        <v>104</v>
      </c>
    </row>
    <row r="6" customFormat="false" ht="15" hidden="false" customHeight="true" outlineLevel="0" collapsed="false">
      <c r="A6" s="9" t="n">
        <v>0</v>
      </c>
      <c r="B6" s="19" t="n">
        <f aca="false">IFERROR((Model!$B$29+Model!$B$13*A6*Model!$B$38)/Model!$B$28,0)</f>
        <v>0.82</v>
      </c>
      <c r="C6" s="19" t="n">
        <f aca="false">IFERROR((Model!$B$32+Model!$B$13*A6*Model!$B$38)/Model!$B$31,0)</f>
        <v>0.853911404335533</v>
      </c>
      <c r="D6" s="18" t="n">
        <f aca="false">Model!$B$13*A6*Model!$B$38</f>
        <v>0</v>
      </c>
      <c r="E6" s="20" t="n">
        <f aca="false">Model!$B$12*A6*Model!$B$44</f>
        <v>0</v>
      </c>
      <c r="F6" s="20" t="n">
        <f aca="false">Model!$B$12*A6*Model!$B$44/Inputs!$B$12</f>
        <v>0</v>
      </c>
      <c r="G6" s="20" t="str">
        <f aca="false">IF(D6&gt;0,E6/D6,"n/a")</f>
        <v>n/a</v>
      </c>
    </row>
    <row r="7" customFormat="false" ht="15" hidden="false" customHeight="true" outlineLevel="0" collapsed="false">
      <c r="A7" s="9" t="n">
        <v>0.1</v>
      </c>
      <c r="B7" s="19" t="n">
        <f aca="false">IFERROR((Model!$B$29+Model!$B$13*A7*Model!$B$38)/Model!$B$28,0)</f>
        <v>0.825185365853659</v>
      </c>
      <c r="C7" s="19" t="n">
        <f aca="false">IFERROR((Model!$B$32+Model!$B$13*A7*Model!$B$38)/Model!$B$31,0)</f>
        <v>0.854216857083745</v>
      </c>
      <c r="D7" s="18" t="n">
        <f aca="false">Model!$B$13*A7*Model!$B$38</f>
        <v>2.59268292682927</v>
      </c>
      <c r="E7" s="20" t="n">
        <f aca="false">Model!$B$12*A7*Model!$B$44</f>
        <v>72.969370967742</v>
      </c>
      <c r="F7" s="20" t="n">
        <f aca="false">Model!$B$12*A7*Model!$B$44/Inputs!$B$12</f>
        <v>6.0807809139785</v>
      </c>
      <c r="G7" s="20" t="n">
        <f aca="false">IF(D7&gt;0,E7/D7,"n/a")</f>
        <v>28.1443481625345</v>
      </c>
    </row>
    <row r="8" customFormat="false" ht="15" hidden="false" customHeight="true" outlineLevel="0" collapsed="false">
      <c r="A8" s="9" t="n">
        <v>0.2</v>
      </c>
      <c r="B8" s="19" t="n">
        <f aca="false">IFERROR((Model!$B$29+Model!$B$13*A8*Model!$B$38)/Model!$B$28,0)</f>
        <v>0.830370731707317</v>
      </c>
      <c r="C8" s="19" t="n">
        <f aca="false">IFERROR((Model!$B$32+Model!$B$13*A8*Model!$B$38)/Model!$B$31,0)</f>
        <v>0.854522309831958</v>
      </c>
      <c r="D8" s="18" t="n">
        <f aca="false">Model!$B$13*A8*Model!$B$38</f>
        <v>5.18536585365854</v>
      </c>
      <c r="E8" s="20" t="n">
        <f aca="false">Model!$B$12*A8*Model!$B$44</f>
        <v>145.938741935484</v>
      </c>
      <c r="F8" s="20" t="n">
        <f aca="false">Model!$B$12*A8*Model!$B$44/Inputs!$B$12</f>
        <v>12.161561827957</v>
      </c>
      <c r="G8" s="20" t="n">
        <f aca="false">IF(D8&gt;0,E8/D8,"n/a")</f>
        <v>28.1443481625345</v>
      </c>
    </row>
    <row r="9" customFormat="false" ht="15" hidden="false" customHeight="true" outlineLevel="0" collapsed="false">
      <c r="A9" s="9" t="n">
        <v>0.3</v>
      </c>
      <c r="B9" s="19" t="n">
        <f aca="false">IFERROR((Model!$B$29+Model!$B$13*A9*Model!$B$38)/Model!$B$28,0)</f>
        <v>0.835556097560976</v>
      </c>
      <c r="C9" s="19" t="n">
        <f aca="false">IFERROR((Model!$B$32+Model!$B$13*A9*Model!$B$38)/Model!$B$31,0)</f>
        <v>0.854827762580171</v>
      </c>
      <c r="D9" s="18" t="n">
        <f aca="false">Model!$B$13*A9*Model!$B$38</f>
        <v>7.77804878048781</v>
      </c>
      <c r="E9" s="20" t="n">
        <f aca="false">Model!$B$12*A9*Model!$B$44</f>
        <v>218.908112903226</v>
      </c>
      <c r="F9" s="20" t="n">
        <f aca="false">Model!$B$12*A9*Model!$B$44/Inputs!$B$12</f>
        <v>18.2423427419355</v>
      </c>
      <c r="G9" s="20" t="n">
        <f aca="false">IF(D9&gt;0,E9/D9,"n/a")</f>
        <v>28.1443481625345</v>
      </c>
    </row>
    <row r="10" customFormat="false" ht="15" hidden="false" customHeight="true" outlineLevel="0" collapsed="false">
      <c r="A10" s="9" t="n">
        <v>0.4</v>
      </c>
      <c r="B10" s="19" t="n">
        <f aca="false">IFERROR((Model!$B$29+Model!$B$13*A10*Model!$B$38)/Model!$B$28,0)</f>
        <v>0.840741463414634</v>
      </c>
      <c r="C10" s="19" t="n">
        <f aca="false">IFERROR((Model!$B$32+Model!$B$13*A10*Model!$B$38)/Model!$B$31,0)</f>
        <v>0.855133215328383</v>
      </c>
      <c r="D10" s="18" t="n">
        <f aca="false">Model!$B$13*A10*Model!$B$38</f>
        <v>10.3707317073171</v>
      </c>
      <c r="E10" s="20" t="n">
        <f aca="false">Model!$B$12*A10*Model!$B$44</f>
        <v>291.877483870968</v>
      </c>
      <c r="F10" s="20" t="n">
        <f aca="false">Model!$B$12*A10*Model!$B$44/Inputs!$B$12</f>
        <v>24.323123655914</v>
      </c>
      <c r="G10" s="20" t="n">
        <f aca="false">IF(D10&gt;0,E10/D10,"n/a")</f>
        <v>28.1443481625345</v>
      </c>
    </row>
    <row r="11" customFormat="false" ht="15" hidden="false" customHeight="true" outlineLevel="0" collapsed="false">
      <c r="A11" s="9" t="n">
        <v>0.5</v>
      </c>
      <c r="B11" s="19" t="n">
        <f aca="false">IFERROR((Model!$B$29+Model!$B$13*A11*Model!$B$38)/Model!$B$28,0)</f>
        <v>0.845926829268293</v>
      </c>
      <c r="C11" s="19" t="n">
        <f aca="false">IFERROR((Model!$B$32+Model!$B$13*A11*Model!$B$38)/Model!$B$31,0)</f>
        <v>0.855438668076596</v>
      </c>
      <c r="D11" s="18" t="n">
        <f aca="false">Model!$B$13*A11*Model!$B$38</f>
        <v>12.9634146341463</v>
      </c>
      <c r="E11" s="20" t="n">
        <f aca="false">Model!$B$12*A11*Model!$B$44</f>
        <v>364.84685483871</v>
      </c>
      <c r="F11" s="20" t="n">
        <f aca="false">Model!$B$12*A11*Model!$B$44/Inputs!$B$12</f>
        <v>30.4039045698925</v>
      </c>
      <c r="G11" s="20" t="n">
        <f aca="false">IF(D11&gt;0,E11/D11,"n/a")</f>
        <v>28.1443481625345</v>
      </c>
    </row>
    <row r="12" customFormat="false" ht="15" hidden="false" customHeight="true" outlineLevel="0" collapsed="false">
      <c r="A12" s="9" t="n">
        <v>0.6</v>
      </c>
      <c r="B12" s="19" t="n">
        <f aca="false">IFERROR((Model!$B$29+Model!$B$13*A12*Model!$B$38)/Model!$B$28,0)</f>
        <v>0.851112195121951</v>
      </c>
      <c r="C12" s="19" t="n">
        <f aca="false">IFERROR((Model!$B$32+Model!$B$13*A12*Model!$B$38)/Model!$B$31,0)</f>
        <v>0.855744120824809</v>
      </c>
      <c r="D12" s="18" t="n">
        <f aca="false">Model!$B$13*A12*Model!$B$38</f>
        <v>15.5560975609756</v>
      </c>
      <c r="E12" s="20" t="n">
        <f aca="false">Model!$B$12*A12*Model!$B$44</f>
        <v>437.816225806452</v>
      </c>
      <c r="F12" s="20" t="n">
        <f aca="false">Model!$B$12*A12*Model!$B$44/Inputs!$B$12</f>
        <v>36.484685483871</v>
      </c>
      <c r="G12" s="20" t="n">
        <f aca="false">IF(D12&gt;0,E12/D12,"n/a")</f>
        <v>28.1443481625345</v>
      </c>
    </row>
    <row r="13" customFormat="false" ht="15" hidden="false" customHeight="true" outlineLevel="0" collapsed="false">
      <c r="A13" s="9" t="n">
        <v>0.7</v>
      </c>
      <c r="B13" s="19" t="n">
        <f aca="false">IFERROR((Model!$B$29+Model!$B$13*A13*Model!$B$38)/Model!$B$28,0)</f>
        <v>0.85629756097561</v>
      </c>
      <c r="C13" s="19" t="n">
        <f aca="false">IFERROR((Model!$B$32+Model!$B$13*A13*Model!$B$38)/Model!$B$31,0)</f>
        <v>0.856049573573021</v>
      </c>
      <c r="D13" s="18" t="n">
        <f aca="false">Model!$B$13*A13*Model!$B$38</f>
        <v>18.1487804878049</v>
      </c>
      <c r="E13" s="20" t="n">
        <f aca="false">Model!$B$12*A13*Model!$B$44</f>
        <v>510.785596774194</v>
      </c>
      <c r="F13" s="20" t="n">
        <f aca="false">Model!$B$12*A13*Model!$B$44/Inputs!$B$12</f>
        <v>42.5654663978495</v>
      </c>
      <c r="G13" s="20" t="n">
        <f aca="false">IF(D13&gt;0,E13/D13,"n/a")</f>
        <v>28.1443481625345</v>
      </c>
    </row>
    <row r="14" customFormat="false" ht="15" hidden="false" customHeight="true" outlineLevel="0" collapsed="false">
      <c r="A14" s="9" t="n">
        <v>0.8</v>
      </c>
      <c r="B14" s="19" t="n">
        <f aca="false">IFERROR((Model!$B$29+Model!$B$13*A14*Model!$B$38)/Model!$B$28,0)</f>
        <v>0.861482926829268</v>
      </c>
      <c r="C14" s="19" t="n">
        <f aca="false">IFERROR((Model!$B$32+Model!$B$13*A14*Model!$B$38)/Model!$B$31,0)</f>
        <v>0.856355026321234</v>
      </c>
      <c r="D14" s="18" t="n">
        <f aca="false">Model!$B$13*A14*Model!$B$38</f>
        <v>20.7414634146341</v>
      </c>
      <c r="E14" s="20" t="n">
        <f aca="false">Model!$B$12*A14*Model!$B$44</f>
        <v>583.754967741936</v>
      </c>
      <c r="F14" s="20" t="n">
        <f aca="false">Model!$B$12*A14*Model!$B$44/Inputs!$B$12</f>
        <v>48.646247311828</v>
      </c>
      <c r="G14" s="20" t="n">
        <f aca="false">IF(D14&gt;0,E14/D14,"n/a")</f>
        <v>28.1443481625345</v>
      </c>
    </row>
    <row r="15" customFormat="false" ht="15" hidden="false" customHeight="true" outlineLevel="0" collapsed="false">
      <c r="A15" s="9" t="n">
        <v>0.9</v>
      </c>
      <c r="B15" s="19" t="n">
        <f aca="false">IFERROR((Model!$B$29+Model!$B$13*A15*Model!$B$38)/Model!$B$28,0)</f>
        <v>0.866668292682927</v>
      </c>
      <c r="C15" s="19" t="n">
        <f aca="false">IFERROR((Model!$B$32+Model!$B$13*A15*Model!$B$38)/Model!$B$31,0)</f>
        <v>0.856660479069447</v>
      </c>
      <c r="D15" s="18" t="n">
        <f aca="false">Model!$B$13*A15*Model!$B$38</f>
        <v>23.3341463414634</v>
      </c>
      <c r="E15" s="20" t="n">
        <f aca="false">Model!$B$12*A15*Model!$B$44</f>
        <v>656.724338709678</v>
      </c>
      <c r="F15" s="20" t="n">
        <f aca="false">Model!$B$12*A15*Model!$B$44/Inputs!$B$12</f>
        <v>54.7270282258065</v>
      </c>
      <c r="G15" s="20" t="n">
        <f aca="false">IF(D15&gt;0,E15/D15,"n/a")</f>
        <v>28.1443481625345</v>
      </c>
    </row>
    <row r="16" customFormat="false" ht="15" hidden="false" customHeight="true" outlineLevel="0" collapsed="false">
      <c r="A16" s="9" t="n">
        <v>1</v>
      </c>
      <c r="B16" s="19" t="n">
        <f aca="false">IFERROR((Model!$B$29+Model!$B$13*A16*Model!$B$38)/Model!$B$28,0)</f>
        <v>0.871853658536585</v>
      </c>
      <c r="C16" s="19" t="n">
        <f aca="false">IFERROR((Model!$B$32+Model!$B$13*A16*Model!$B$38)/Model!$B$31,0)</f>
        <v>0.856965931817659</v>
      </c>
      <c r="D16" s="18" t="n">
        <f aca="false">Model!$B$13*A16*Model!$B$38</f>
        <v>25.9268292682927</v>
      </c>
      <c r="E16" s="20" t="n">
        <f aca="false">Model!$B$12*A16*Model!$B$44</f>
        <v>729.693709677419</v>
      </c>
      <c r="F16" s="20" t="n">
        <f aca="false">Model!$B$12*A16*Model!$B$44/Inputs!$B$12</f>
        <v>60.807809139785</v>
      </c>
      <c r="G16" s="20" t="n">
        <f aca="false">IF(D16&gt;0,E16/D16,"n/a")</f>
        <v>28.1443481625345</v>
      </c>
    </row>
    <row r="18" customFormat="false" ht="15" hidden="false" customHeight="true" outlineLevel="0" collapsed="false">
      <c r="A18" s="4" t="s">
        <v>44</v>
      </c>
      <c r="B18" s="28" t="n">
        <f aca="false">Inputs!$B$10</f>
        <v>0.9</v>
      </c>
    </row>
    <row r="19" customFormat="false" ht="15" hidden="false" customHeight="true" outlineLevel="0" collapsed="false">
      <c r="A19" s="4" t="s">
        <v>105</v>
      </c>
      <c r="B19" s="28" t="str">
        <f aca="false">Model!$B$53</f>
        <v>Not achievable with this switch alone</v>
      </c>
    </row>
    <row r="21" customFormat="false" ht="15" hidden="false" customHeight="true" outlineLevel="0" collapsed="false">
      <c r="A21" s="13" t="s">
        <v>106</v>
      </c>
      <c r="B21" s="14"/>
      <c r="C21" s="14"/>
      <c r="D21" s="14"/>
      <c r="E21" s="14"/>
      <c r="F21" s="14"/>
      <c r="G21" s="14"/>
    </row>
    <row r="22" customFormat="false" ht="39" hidden="false" customHeight="true" outlineLevel="0" collapsed="false">
      <c r="A22" s="6" t="s">
        <v>107</v>
      </c>
      <c r="B22" s="6" t="s">
        <v>108</v>
      </c>
      <c r="C22" s="6" t="s">
        <v>93</v>
      </c>
      <c r="D22" s="6" t="s">
        <v>94</v>
      </c>
      <c r="E22" s="6" t="s">
        <v>104</v>
      </c>
      <c r="F22" s="6" t="s">
        <v>109</v>
      </c>
      <c r="G22" s="6" t="s">
        <v>110</v>
      </c>
    </row>
    <row r="23" customFormat="false" ht="15" hidden="false" customHeight="true" outlineLevel="0" collapsed="false">
      <c r="A23" s="29" t="n">
        <v>-0.1</v>
      </c>
      <c r="B23" s="20" t="n">
        <f aca="false">Model!$B$23*(1+A23)</f>
        <v>26.2711451612903</v>
      </c>
      <c r="C23" s="20" t="n">
        <f aca="false">Model!$B$36*(B23-Model!$B$16)</f>
        <v>300.598338709678</v>
      </c>
      <c r="D23" s="20" t="n">
        <f aca="false">C23/Inputs!$B$12</f>
        <v>25.0498615591398</v>
      </c>
      <c r="E23" s="20" t="n">
        <f aca="false">IF(Model!$B$39&gt;0,C23/Model!$B$39,"n/a")</f>
        <v>11.5941033745031</v>
      </c>
      <c r="F23" s="21" t="str">
        <f aca="false">IF(Model!$B$39&lt;=0,"Do not switch",IF(C23&lt;=0,"Proceed",IF(E23&lt;=Inputs!$B$11,"Proceed","Do not proceed")))</f>
        <v>Proceed</v>
      </c>
      <c r="G23" s="21" t="str">
        <f aca="false">IF(F23=$F$24,"Yes","No")</f>
        <v>Yes</v>
      </c>
    </row>
    <row r="24" customFormat="false" ht="15" hidden="false" customHeight="true" outlineLevel="0" collapsed="false">
      <c r="A24" s="29" t="n">
        <v>0</v>
      </c>
      <c r="B24" s="20" t="n">
        <f aca="false">Model!$B$23*(1+A24)</f>
        <v>29.1901612903226</v>
      </c>
      <c r="C24" s="20" t="n">
        <f aca="false">Model!$B$36*(B24-Model!$B$16)</f>
        <v>729.693709677419</v>
      </c>
      <c r="D24" s="20" t="n">
        <f aca="false">C24/Inputs!$B$12</f>
        <v>60.807809139785</v>
      </c>
      <c r="E24" s="20" t="n">
        <f aca="false">IF(Model!$B$39&gt;0,C24/Model!$B$39,"n/a")</f>
        <v>28.1443481625345</v>
      </c>
      <c r="F24" s="21" t="str">
        <f aca="false">IF(Model!$B$39&lt;=0,"Do not switch",IF(C24&lt;=0,"Proceed",IF(E24&lt;=Inputs!$B$11,"Proceed","Do not proceed")))</f>
        <v>Proceed</v>
      </c>
      <c r="G24" s="21" t="str">
        <f aca="false">IF(F24=$F$24,"Yes","No")</f>
        <v>Yes</v>
      </c>
    </row>
    <row r="25" customFormat="false" ht="15" hidden="false" customHeight="true" outlineLevel="0" collapsed="false">
      <c r="A25" s="29" t="n">
        <v>0.1</v>
      </c>
      <c r="B25" s="20" t="n">
        <f aca="false">Model!$B$23*(1+A25)</f>
        <v>32.1091774193548</v>
      </c>
      <c r="C25" s="20" t="n">
        <f aca="false">Model!$B$36*(B25-Model!$B$16)</f>
        <v>1158.78908064516</v>
      </c>
      <c r="D25" s="20" t="n">
        <f aca="false">C25/Inputs!$B$12</f>
        <v>96.5657567204302</v>
      </c>
      <c r="E25" s="20" t="n">
        <f aca="false">IF(Model!$B$39&gt;0,C25/Model!$B$39,"n/a")</f>
        <v>44.694592950566</v>
      </c>
      <c r="F25" s="21" t="str">
        <f aca="false">IF(Model!$B$39&lt;=0,"Do not switch",IF(C25&lt;=0,"Proceed",IF(E25&lt;=Inputs!$B$11,"Proceed","Do not proceed")))</f>
        <v>Do not proceed</v>
      </c>
      <c r="G25" s="21" t="str">
        <f aca="false">IF(F25=$F$24,"Yes","No")</f>
        <v>No</v>
      </c>
    </row>
    <row r="27" customFormat="false" ht="15" hidden="false" customHeight="true" outlineLevel="0" collapsed="false">
      <c r="A27" s="4" t="s">
        <v>111</v>
      </c>
      <c r="B27" s="7" t="str">
        <f aca="false">IF(COUNTIF(G23:G25,"Yes")=3,"The recommendation holds when the alternative partner's price changes by ±10%.","The recommendation changes within ±10% of the alternative partner's price: treat it as marginal.")</f>
        <v>The recommendation changes within ±10% of the alternative partner's price: treat it as marginal.</v>
      </c>
    </row>
    <row r="29" customFormat="false" ht="122.25" hidden="false" customHeight="true" outlineLevel="0" collapsed="false">
      <c r="A29" s="1" t="s">
        <v>112</v>
      </c>
      <c r="B29" s="30" t="s">
        <v>113</v>
      </c>
    </row>
    <row r="31" customFormat="false" ht="15" hidden="false" customHeight="false" outlineLevel="0" collapsed="false">
      <c r="A31" s="1" t="s">
        <v>114</v>
      </c>
      <c r="B31" s="1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7" min="3" style="1" width="12"/>
  </cols>
  <sheetData>
    <row r="1" customFormat="false" ht="17.25" hidden="false" customHeight="true" outlineLevel="0" collapsed="false">
      <c r="A1" s="2" t="s">
        <v>116</v>
      </c>
    </row>
    <row r="2" customFormat="false" ht="15" hidden="false" customHeight="true" outlineLevel="0" collapsed="false">
      <c r="A2" s="3" t="s">
        <v>117</v>
      </c>
    </row>
    <row r="4" customFormat="false" ht="15" hidden="false" customHeight="true" outlineLevel="0" collapsed="false">
      <c r="A4" s="4" t="str">
        <f aca="false">"Current partner: "&amp;Inputs!$B$6&amp;" ("&amp;Inputs!$B$17&amp;")"</f>
        <v>Current partner: C03 (CityHop Riders)</v>
      </c>
    </row>
    <row r="6" customFormat="false" ht="26.25" hidden="false" customHeight="true" outlineLevel="0" collapsed="false">
      <c r="A6" s="6" t="s">
        <v>60</v>
      </c>
      <c r="B6" s="6" t="s">
        <v>118</v>
      </c>
      <c r="C6" s="6" t="s">
        <v>119</v>
      </c>
      <c r="D6" s="6" t="s">
        <v>38</v>
      </c>
      <c r="E6" s="6" t="s">
        <v>35</v>
      </c>
      <c r="F6" s="6" t="s">
        <v>120</v>
      </c>
      <c r="G6" s="6" t="s">
        <v>121</v>
      </c>
    </row>
    <row r="7" customFormat="false" ht="15" hidden="false" customHeight="true" outlineLevel="0" collapsed="false">
      <c r="A7" s="7" t="s">
        <v>122</v>
      </c>
      <c r="B7" s="19" t="n">
        <f aca="false">IFERROR(SUMIFS(Partner_Data!$F:$F,Partner_Data!$A:$A,Inputs!$B$6,Partner_Data!$C:$C,$A7)/SUMIFS(Partner_Data!$E:$E,Partner_Data!$A:$A,Inputs!$B$6,Partner_Data!$C:$C,$A7),0)</f>
        <v>0.794117647058824</v>
      </c>
      <c r="C7" s="31" t="n">
        <f aca="false">IF(Inputs!$B$6="C01","—",IF(IFERROR(SUMIFS(Partner_Data!$F:$F,Partner_Data!$A:$A,"C01",Partner_Data!$C:$C,$A7)/SUMIFS(Partner_Data!$E:$E,Partner_Data!$A:$A,"C01",Partner_Data!$C:$C,$A7),0)-$B7&lt;=0,"No gain",IFERROR((IFERROR(SUMIFS(Partner_Data!$L:$L,Partner_Data!$A:$A,"C01",Partner_Data!$C:$C,$A7)/SUMIFS(Partner_Data!$K:$K,Partner_Data!$A:$A,"C01",Partner_Data!$C:$C,$A7),0)*(1+Inputs!$B$9)-IFERROR(SUMIFS(Partner_Data!$L:$L,Partner_Data!$A:$A,Inputs!$B$6,Partner_Data!$C:$C,$A7)/SUMIFS(Partner_Data!$K:$K,Partner_Data!$A:$A,Inputs!$B$6,Partner_Data!$C:$C,$A7),0))*SUMIFS(Partner_Data!$D:$D,Partner_Data!$A:$A,Inputs!$B$6,Partner_Data!$C:$C,$A7)/(SUMIFS(Partner_Data!$E:$E,Partner_Data!$A:$A,Inputs!$B$6,Partner_Data!$C:$C,$A7)*(IFERROR(SUMIFS(Partner_Data!$F:$F,Partner_Data!$A:$A,"C01",Partner_Data!$C:$C,$A7)/SUMIFS(Partner_Data!$E:$E,Partner_Data!$A:$A,"C01",Partner_Data!$C:$C,$A7),0)-$B7)),"n/a")))</f>
        <v>106.495879204828</v>
      </c>
      <c r="D7" s="31" t="n">
        <f aca="false">IF(Inputs!$B$6="C02","—",IF(IFERROR(SUMIFS(Partner_Data!$F:$F,Partner_Data!$A:$A,"C02",Partner_Data!$C:$C,$A7)/SUMIFS(Partner_Data!$E:$E,Partner_Data!$A:$A,"C02",Partner_Data!$C:$C,$A7),0)-$B7&lt;=0,"No gain",IFERROR((IFERROR(SUMIFS(Partner_Data!$L:$L,Partner_Data!$A:$A,"C02",Partner_Data!$C:$C,$A7)/SUMIFS(Partner_Data!$K:$K,Partner_Data!$A:$A,"C02",Partner_Data!$C:$C,$A7),0)*(1+Inputs!$B$9)-IFERROR(SUMIFS(Partner_Data!$L:$L,Partner_Data!$A:$A,Inputs!$B$6,Partner_Data!$C:$C,$A7)/SUMIFS(Partner_Data!$K:$K,Partner_Data!$A:$A,Inputs!$B$6,Partner_Data!$C:$C,$A7),0))*SUMIFS(Partner_Data!$D:$D,Partner_Data!$A:$A,Inputs!$B$6,Partner_Data!$C:$C,$A7)/(SUMIFS(Partner_Data!$E:$E,Partner_Data!$A:$A,Inputs!$B$6,Partner_Data!$C:$C,$A7)*(IFERROR(SUMIFS(Partner_Data!$F:$F,Partner_Data!$A:$A,"C02",Partner_Data!$C:$C,$A7)/SUMIFS(Partner_Data!$E:$E,Partner_Data!$A:$A,"C02",Partner_Data!$C:$C,$A7),0)-$B7)),"n/a")))</f>
        <v>75.0106894548214</v>
      </c>
      <c r="E7" s="31" t="str">
        <f aca="false">IF(Inputs!$B$6="C03","—",IF(IFERROR(SUMIFS(Partner_Data!$F:$F,Partner_Data!$A:$A,"C03",Partner_Data!$C:$C,$A7)/SUMIFS(Partner_Data!$E:$E,Partner_Data!$A:$A,"C03",Partner_Data!$C:$C,$A7),0)-$B7&lt;=0,"No gain",IFERROR((IFERROR(SUMIFS(Partner_Data!$L:$L,Partner_Data!$A:$A,"C03",Partner_Data!$C:$C,$A7)/SUMIFS(Partner_Data!$K:$K,Partner_Data!$A:$A,"C03",Partner_Data!$C:$C,$A7),0)*(1+Inputs!$B$9)-IFERROR(SUMIFS(Partner_Data!$L:$L,Partner_Data!$A:$A,Inputs!$B$6,Partner_Data!$C:$C,$A7)/SUMIFS(Partner_Data!$K:$K,Partner_Data!$A:$A,Inputs!$B$6,Partner_Data!$C:$C,$A7),0))*SUMIFS(Partner_Data!$D:$D,Partner_Data!$A:$A,Inputs!$B$6,Partner_Data!$C:$C,$A7)/(SUMIFS(Partner_Data!$E:$E,Partner_Data!$A:$A,Inputs!$B$6,Partner_Data!$C:$C,$A7)*(IFERROR(SUMIFS(Partner_Data!$F:$F,Partner_Data!$A:$A,"C03",Partner_Data!$C:$C,$A7)/SUMIFS(Partner_Data!$E:$E,Partner_Data!$A:$A,"C03",Partner_Data!$C:$C,$A7),0)-$B7)),"n/a")))</f>
        <v>—</v>
      </c>
      <c r="F7" s="31" t="n">
        <f aca="false">IF(Inputs!$B$6="C04","—",IF(IFERROR(SUMIFS(Partner_Data!$F:$F,Partner_Data!$A:$A,"C04",Partner_Data!$C:$C,$A7)/SUMIFS(Partner_Data!$E:$E,Partner_Data!$A:$A,"C04",Partner_Data!$C:$C,$A7),0)-$B7&lt;=0,"No gain",IFERROR((IFERROR(SUMIFS(Partner_Data!$L:$L,Partner_Data!$A:$A,"C04",Partner_Data!$C:$C,$A7)/SUMIFS(Partner_Data!$K:$K,Partner_Data!$A:$A,"C04",Partner_Data!$C:$C,$A7),0)*(1+Inputs!$B$9)-IFERROR(SUMIFS(Partner_Data!$L:$L,Partner_Data!$A:$A,Inputs!$B$6,Partner_Data!$C:$C,$A7)/SUMIFS(Partner_Data!$K:$K,Partner_Data!$A:$A,Inputs!$B$6,Partner_Data!$C:$C,$A7),0))*SUMIFS(Partner_Data!$D:$D,Partner_Data!$A:$A,Inputs!$B$6,Partner_Data!$C:$C,$A7)/(SUMIFS(Partner_Data!$E:$E,Partner_Data!$A:$A,Inputs!$B$6,Partner_Data!$C:$C,$A7)*(IFERROR(SUMIFS(Partner_Data!$F:$F,Partner_Data!$A:$A,"C04",Partner_Data!$C:$C,$A7)/SUMIFS(Partner_Data!$E:$E,Partner_Data!$A:$A,"C04",Partner_Data!$C:$C,$A7),0)-$B7)),"n/a")))</f>
        <v>67.327332244421</v>
      </c>
      <c r="G7" s="31" t="n">
        <f aca="false">IF(Inputs!$B$6="C05","—",IF(IFERROR(SUMIFS(Partner_Data!$F:$F,Partner_Data!$A:$A,"C05",Partner_Data!$C:$C,$A7)/SUMIFS(Partner_Data!$E:$E,Partner_Data!$A:$A,"C05",Partner_Data!$C:$C,$A7),0)-$B7&lt;=0,"No gain",IFERROR((IFERROR(SUMIFS(Partner_Data!$L:$L,Partner_Data!$A:$A,"C05",Partner_Data!$C:$C,$A7)/SUMIFS(Partner_Data!$K:$K,Partner_Data!$A:$A,"C05",Partner_Data!$C:$C,$A7),0)*(1+Inputs!$B$9)-IFERROR(SUMIFS(Partner_Data!$L:$L,Partner_Data!$A:$A,Inputs!$B$6,Partner_Data!$C:$C,$A7)/SUMIFS(Partner_Data!$K:$K,Partner_Data!$A:$A,Inputs!$B$6,Partner_Data!$C:$C,$A7),0))*SUMIFS(Partner_Data!$D:$D,Partner_Data!$A:$A,Inputs!$B$6,Partner_Data!$C:$C,$A7)/(SUMIFS(Partner_Data!$E:$E,Partner_Data!$A:$A,Inputs!$B$6,Partner_Data!$C:$C,$A7)*(IFERROR(SUMIFS(Partner_Data!$F:$F,Partner_Data!$A:$A,"C05",Partner_Data!$C:$C,$A7)/SUMIFS(Partner_Data!$E:$E,Partner_Data!$A:$A,"C05",Partner_Data!$C:$C,$A7),0)-$B7)),"n/a")))</f>
        <v>90.9828639345741</v>
      </c>
    </row>
    <row r="8" customFormat="false" ht="15" hidden="false" customHeight="true" outlineLevel="0" collapsed="false">
      <c r="A8" s="7" t="s">
        <v>123</v>
      </c>
      <c r="B8" s="19" t="n">
        <f aca="false">IFERROR(SUMIFS(Partner_Data!$F:$F,Partner_Data!$A:$A,Inputs!$B$6,Partner_Data!$C:$C,$A8)/SUMIFS(Partner_Data!$E:$E,Partner_Data!$A:$A,Inputs!$B$6,Partner_Data!$C:$C,$A8),0)</f>
        <v>0.792899408284024</v>
      </c>
      <c r="C8" s="31" t="n">
        <f aca="false">IF(Inputs!$B$6="C01","—",IF(IFERROR(SUMIFS(Partner_Data!$F:$F,Partner_Data!$A:$A,"C01",Partner_Data!$C:$C,$A8)/SUMIFS(Partner_Data!$E:$E,Partner_Data!$A:$A,"C01",Partner_Data!$C:$C,$A8),0)-$B8&lt;=0,"No gain",IFERROR((IFERROR(SUMIFS(Partner_Data!$L:$L,Partner_Data!$A:$A,"C01",Partner_Data!$C:$C,$A8)/SUMIFS(Partner_Data!$K:$K,Partner_Data!$A:$A,"C01",Partner_Data!$C:$C,$A8),0)*(1+Inputs!$B$9)-IFERROR(SUMIFS(Partner_Data!$L:$L,Partner_Data!$A:$A,Inputs!$B$6,Partner_Data!$C:$C,$A8)/SUMIFS(Partner_Data!$K:$K,Partner_Data!$A:$A,Inputs!$B$6,Partner_Data!$C:$C,$A8),0))*SUMIFS(Partner_Data!$D:$D,Partner_Data!$A:$A,Inputs!$B$6,Partner_Data!$C:$C,$A8)/(SUMIFS(Partner_Data!$E:$E,Partner_Data!$A:$A,Inputs!$B$6,Partner_Data!$C:$C,$A8)*(IFERROR(SUMIFS(Partner_Data!$F:$F,Partner_Data!$A:$A,"C01",Partner_Data!$C:$C,$A8)/SUMIFS(Partner_Data!$E:$E,Partner_Data!$A:$A,"C01",Partner_Data!$C:$C,$A8),0)-$B8)),"n/a")))</f>
        <v>82.3587575757576</v>
      </c>
      <c r="D8" s="31" t="n">
        <f aca="false">IF(Inputs!$B$6="C02","—",IF(IFERROR(SUMIFS(Partner_Data!$F:$F,Partner_Data!$A:$A,"C02",Partner_Data!$C:$C,$A8)/SUMIFS(Partner_Data!$E:$E,Partner_Data!$A:$A,"C02",Partner_Data!$C:$C,$A8),0)-$B8&lt;=0,"No gain",IFERROR((IFERROR(SUMIFS(Partner_Data!$L:$L,Partner_Data!$A:$A,"C02",Partner_Data!$C:$C,$A8)/SUMIFS(Partner_Data!$K:$K,Partner_Data!$A:$A,"C02",Partner_Data!$C:$C,$A8),0)*(1+Inputs!$B$9)-IFERROR(SUMIFS(Partner_Data!$L:$L,Partner_Data!$A:$A,Inputs!$B$6,Partner_Data!$C:$C,$A8)/SUMIFS(Partner_Data!$K:$K,Partner_Data!$A:$A,Inputs!$B$6,Partner_Data!$C:$C,$A8),0))*SUMIFS(Partner_Data!$D:$D,Partner_Data!$A:$A,Inputs!$B$6,Partner_Data!$C:$C,$A8)/(SUMIFS(Partner_Data!$E:$E,Partner_Data!$A:$A,Inputs!$B$6,Partner_Data!$C:$C,$A8)*(IFERROR(SUMIFS(Partner_Data!$F:$F,Partner_Data!$A:$A,"C02",Partner_Data!$C:$C,$A8)/SUMIFS(Partner_Data!$E:$E,Partner_Data!$A:$A,"C02",Partner_Data!$C:$C,$A8),0)-$B8)),"n/a")))</f>
        <v>133.023920442189</v>
      </c>
      <c r="E8" s="31" t="str">
        <f aca="false">IF(Inputs!$B$6="C03","—",IF(IFERROR(SUMIFS(Partner_Data!$F:$F,Partner_Data!$A:$A,"C03",Partner_Data!$C:$C,$A8)/SUMIFS(Partner_Data!$E:$E,Partner_Data!$A:$A,"C03",Partner_Data!$C:$C,$A8),0)-$B8&lt;=0,"No gain",IFERROR((IFERROR(SUMIFS(Partner_Data!$L:$L,Partner_Data!$A:$A,"C03",Partner_Data!$C:$C,$A8)/SUMIFS(Partner_Data!$K:$K,Partner_Data!$A:$A,"C03",Partner_Data!$C:$C,$A8),0)*(1+Inputs!$B$9)-IFERROR(SUMIFS(Partner_Data!$L:$L,Partner_Data!$A:$A,Inputs!$B$6,Partner_Data!$C:$C,$A8)/SUMIFS(Partner_Data!$K:$K,Partner_Data!$A:$A,Inputs!$B$6,Partner_Data!$C:$C,$A8),0))*SUMIFS(Partner_Data!$D:$D,Partner_Data!$A:$A,Inputs!$B$6,Partner_Data!$C:$C,$A8)/(SUMIFS(Partner_Data!$E:$E,Partner_Data!$A:$A,Inputs!$B$6,Partner_Data!$C:$C,$A8)*(IFERROR(SUMIFS(Partner_Data!$F:$F,Partner_Data!$A:$A,"C03",Partner_Data!$C:$C,$A8)/SUMIFS(Partner_Data!$E:$E,Partner_Data!$A:$A,"C03",Partner_Data!$C:$C,$A8),0)-$B8)),"n/a")))</f>
        <v>—</v>
      </c>
      <c r="F8" s="31" t="n">
        <f aca="false">IF(Inputs!$B$6="C04","—",IF(IFERROR(SUMIFS(Partner_Data!$F:$F,Partner_Data!$A:$A,"C04",Partner_Data!$C:$C,$A8)/SUMIFS(Partner_Data!$E:$E,Partner_Data!$A:$A,"C04",Partner_Data!$C:$C,$A8),0)-$B8&lt;=0,"No gain",IFERROR((IFERROR(SUMIFS(Partner_Data!$L:$L,Partner_Data!$A:$A,"C04",Partner_Data!$C:$C,$A8)/SUMIFS(Partner_Data!$K:$K,Partner_Data!$A:$A,"C04",Partner_Data!$C:$C,$A8),0)*(1+Inputs!$B$9)-IFERROR(SUMIFS(Partner_Data!$L:$L,Partner_Data!$A:$A,Inputs!$B$6,Partner_Data!$C:$C,$A8)/SUMIFS(Partner_Data!$K:$K,Partner_Data!$A:$A,Inputs!$B$6,Partner_Data!$C:$C,$A8),0))*SUMIFS(Partner_Data!$D:$D,Partner_Data!$A:$A,Inputs!$B$6,Partner_Data!$C:$C,$A8)/(SUMIFS(Partner_Data!$E:$E,Partner_Data!$A:$A,Inputs!$B$6,Partner_Data!$C:$C,$A8)*(IFERROR(SUMIFS(Partner_Data!$F:$F,Partner_Data!$A:$A,"C04",Partner_Data!$C:$C,$A8)/SUMIFS(Partner_Data!$E:$E,Partner_Data!$A:$A,"C04",Partner_Data!$C:$C,$A8),0)-$B8)),"n/a")))</f>
        <v>73.2773432518597</v>
      </c>
      <c r="G8" s="31" t="n">
        <f aca="false">IF(Inputs!$B$6="C05","—",IF(IFERROR(SUMIFS(Partner_Data!$F:$F,Partner_Data!$A:$A,"C05",Partner_Data!$C:$C,$A8)/SUMIFS(Partner_Data!$E:$E,Partner_Data!$A:$A,"C05",Partner_Data!$C:$C,$A8),0)-$B8&lt;=0,"No gain",IFERROR((IFERROR(SUMIFS(Partner_Data!$L:$L,Partner_Data!$A:$A,"C05",Partner_Data!$C:$C,$A8)/SUMIFS(Partner_Data!$K:$K,Partner_Data!$A:$A,"C05",Partner_Data!$C:$C,$A8),0)*(1+Inputs!$B$9)-IFERROR(SUMIFS(Partner_Data!$L:$L,Partner_Data!$A:$A,Inputs!$B$6,Partner_Data!$C:$C,$A8)/SUMIFS(Partner_Data!$K:$K,Partner_Data!$A:$A,Inputs!$B$6,Partner_Data!$C:$C,$A8),0))*SUMIFS(Partner_Data!$D:$D,Partner_Data!$A:$A,Inputs!$B$6,Partner_Data!$C:$C,$A8)/(SUMIFS(Partner_Data!$E:$E,Partner_Data!$A:$A,Inputs!$B$6,Partner_Data!$C:$C,$A8)*(IFERROR(SUMIFS(Partner_Data!$F:$F,Partner_Data!$A:$A,"C05",Partner_Data!$C:$C,$A8)/SUMIFS(Partner_Data!$E:$E,Partner_Data!$A:$A,"C05",Partner_Data!$C:$C,$A8),0)-$B8)),"n/a")))</f>
        <v>100.839304892037</v>
      </c>
    </row>
    <row r="9" customFormat="false" ht="15" hidden="false" customHeight="true" outlineLevel="0" collapsed="false">
      <c r="A9" s="7" t="s">
        <v>124</v>
      </c>
      <c r="B9" s="19" t="n">
        <f aca="false">IFERROR(SUMIFS(Partner_Data!$F:$F,Partner_Data!$A:$A,Inputs!$B$6,Partner_Data!$C:$C,$A9)/SUMIFS(Partner_Data!$E:$E,Partner_Data!$A:$A,Inputs!$B$6,Partner_Data!$C:$C,$A9),0)</f>
        <v>0.790140845070423</v>
      </c>
      <c r="C9" s="31" t="n">
        <f aca="false">IF(Inputs!$B$6="C01","—",IF(IFERROR(SUMIFS(Partner_Data!$F:$F,Partner_Data!$A:$A,"C01",Partner_Data!$C:$C,$A9)/SUMIFS(Partner_Data!$E:$E,Partner_Data!$A:$A,"C01",Partner_Data!$C:$C,$A9),0)-$B9&lt;=0,"No gain",IFERROR((IFERROR(SUMIFS(Partner_Data!$L:$L,Partner_Data!$A:$A,"C01",Partner_Data!$C:$C,$A9)/SUMIFS(Partner_Data!$K:$K,Partner_Data!$A:$A,"C01",Partner_Data!$C:$C,$A9),0)*(1+Inputs!$B$9)-IFERROR(SUMIFS(Partner_Data!$L:$L,Partner_Data!$A:$A,Inputs!$B$6,Partner_Data!$C:$C,$A9)/SUMIFS(Partner_Data!$K:$K,Partner_Data!$A:$A,Inputs!$B$6,Partner_Data!$C:$C,$A9),0))*SUMIFS(Partner_Data!$D:$D,Partner_Data!$A:$A,Inputs!$B$6,Partner_Data!$C:$C,$A9)/(SUMIFS(Partner_Data!$E:$E,Partner_Data!$A:$A,Inputs!$B$6,Partner_Data!$C:$C,$A9)*(IFERROR(SUMIFS(Partner_Data!$F:$F,Partner_Data!$A:$A,"C01",Partner_Data!$C:$C,$A9)/SUMIFS(Partner_Data!$E:$E,Partner_Data!$A:$A,"C01",Partner_Data!$C:$C,$A9),0)-$B9)),"n/a")))</f>
        <v>104.798307267806</v>
      </c>
      <c r="D9" s="31" t="n">
        <f aca="false">IF(Inputs!$B$6="C02","—",IF(IFERROR(SUMIFS(Partner_Data!$F:$F,Partner_Data!$A:$A,"C02",Partner_Data!$C:$C,$A9)/SUMIFS(Partner_Data!$E:$E,Partner_Data!$A:$A,"C02",Partner_Data!$C:$C,$A9),0)-$B9&lt;=0,"No gain",IFERROR((IFERROR(SUMIFS(Partner_Data!$L:$L,Partner_Data!$A:$A,"C02",Partner_Data!$C:$C,$A9)/SUMIFS(Partner_Data!$K:$K,Partner_Data!$A:$A,"C02",Partner_Data!$C:$C,$A9),0)*(1+Inputs!$B$9)-IFERROR(SUMIFS(Partner_Data!$L:$L,Partner_Data!$A:$A,Inputs!$B$6,Partner_Data!$C:$C,$A9)/SUMIFS(Partner_Data!$K:$K,Partner_Data!$A:$A,Inputs!$B$6,Partner_Data!$C:$C,$A9),0))*SUMIFS(Partner_Data!$D:$D,Partner_Data!$A:$A,Inputs!$B$6,Partner_Data!$C:$C,$A9)/(SUMIFS(Partner_Data!$E:$E,Partner_Data!$A:$A,Inputs!$B$6,Partner_Data!$C:$C,$A9)*(IFERROR(SUMIFS(Partner_Data!$F:$F,Partner_Data!$A:$A,"C02",Partner_Data!$C:$C,$A9)/SUMIFS(Partner_Data!$E:$E,Partner_Data!$A:$A,"C02",Partner_Data!$C:$C,$A9),0)-$B9)),"n/a")))</f>
        <v>75.1037433216768</v>
      </c>
      <c r="E9" s="31" t="str">
        <f aca="false">IF(Inputs!$B$6="C03","—",IF(IFERROR(SUMIFS(Partner_Data!$F:$F,Partner_Data!$A:$A,"C03",Partner_Data!$C:$C,$A9)/SUMIFS(Partner_Data!$E:$E,Partner_Data!$A:$A,"C03",Partner_Data!$C:$C,$A9),0)-$B9&lt;=0,"No gain",IFERROR((IFERROR(SUMIFS(Partner_Data!$L:$L,Partner_Data!$A:$A,"C03",Partner_Data!$C:$C,$A9)/SUMIFS(Partner_Data!$K:$K,Partner_Data!$A:$A,"C03",Partner_Data!$C:$C,$A9),0)*(1+Inputs!$B$9)-IFERROR(SUMIFS(Partner_Data!$L:$L,Partner_Data!$A:$A,Inputs!$B$6,Partner_Data!$C:$C,$A9)/SUMIFS(Partner_Data!$K:$K,Partner_Data!$A:$A,Inputs!$B$6,Partner_Data!$C:$C,$A9),0))*SUMIFS(Partner_Data!$D:$D,Partner_Data!$A:$A,Inputs!$B$6,Partner_Data!$C:$C,$A9)/(SUMIFS(Partner_Data!$E:$E,Partner_Data!$A:$A,Inputs!$B$6,Partner_Data!$C:$C,$A9)*(IFERROR(SUMIFS(Partner_Data!$F:$F,Partner_Data!$A:$A,"C03",Partner_Data!$C:$C,$A9)/SUMIFS(Partner_Data!$E:$E,Partner_Data!$A:$A,"C03",Partner_Data!$C:$C,$A9),0)-$B9)),"n/a")))</f>
        <v>—</v>
      </c>
      <c r="F9" s="31" t="n">
        <f aca="false">IF(Inputs!$B$6="C04","—",IF(IFERROR(SUMIFS(Partner_Data!$F:$F,Partner_Data!$A:$A,"C04",Partner_Data!$C:$C,$A9)/SUMIFS(Partner_Data!$E:$E,Partner_Data!$A:$A,"C04",Partner_Data!$C:$C,$A9),0)-$B9&lt;=0,"No gain",IFERROR((IFERROR(SUMIFS(Partner_Data!$L:$L,Partner_Data!$A:$A,"C04",Partner_Data!$C:$C,$A9)/SUMIFS(Partner_Data!$K:$K,Partner_Data!$A:$A,"C04",Partner_Data!$C:$C,$A9),0)*(1+Inputs!$B$9)-IFERROR(SUMIFS(Partner_Data!$L:$L,Partner_Data!$A:$A,Inputs!$B$6,Partner_Data!$C:$C,$A9)/SUMIFS(Partner_Data!$K:$K,Partner_Data!$A:$A,Inputs!$B$6,Partner_Data!$C:$C,$A9),0))*SUMIFS(Partner_Data!$D:$D,Partner_Data!$A:$A,Inputs!$B$6,Partner_Data!$C:$C,$A9)/(SUMIFS(Partner_Data!$E:$E,Partner_Data!$A:$A,Inputs!$B$6,Partner_Data!$C:$C,$A9)*(IFERROR(SUMIFS(Partner_Data!$F:$F,Partner_Data!$A:$A,"C04",Partner_Data!$C:$C,$A9)/SUMIFS(Partner_Data!$E:$E,Partner_Data!$A:$A,"C04",Partner_Data!$C:$C,$A9),0)-$B9)),"n/a")))</f>
        <v>39.200420686865</v>
      </c>
      <c r="G9" s="31" t="n">
        <f aca="false">IF(Inputs!$B$6="C05","—",IF(IFERROR(SUMIFS(Partner_Data!$F:$F,Partner_Data!$A:$A,"C05",Partner_Data!$C:$C,$A9)/SUMIFS(Partner_Data!$E:$E,Partner_Data!$A:$A,"C05",Partner_Data!$C:$C,$A9),0)-$B9&lt;=0,"No gain",IFERROR((IFERROR(SUMIFS(Partner_Data!$L:$L,Partner_Data!$A:$A,"C05",Partner_Data!$C:$C,$A9)/SUMIFS(Partner_Data!$K:$K,Partner_Data!$A:$A,"C05",Partner_Data!$C:$C,$A9),0)*(1+Inputs!$B$9)-IFERROR(SUMIFS(Partner_Data!$L:$L,Partner_Data!$A:$A,Inputs!$B$6,Partner_Data!$C:$C,$A9)/SUMIFS(Partner_Data!$K:$K,Partner_Data!$A:$A,Inputs!$B$6,Partner_Data!$C:$C,$A9),0))*SUMIFS(Partner_Data!$D:$D,Partner_Data!$A:$A,Inputs!$B$6,Partner_Data!$C:$C,$A9)/(SUMIFS(Partner_Data!$E:$E,Partner_Data!$A:$A,Inputs!$B$6,Partner_Data!$C:$C,$A9)*(IFERROR(SUMIFS(Partner_Data!$F:$F,Partner_Data!$A:$A,"C05",Partner_Data!$C:$C,$A9)/SUMIFS(Partner_Data!$E:$E,Partner_Data!$A:$A,"C05",Partner_Data!$C:$C,$A9),0)-$B9)),"n/a")))</f>
        <v>92.145064780327</v>
      </c>
    </row>
    <row r="10" customFormat="false" ht="15" hidden="false" customHeight="true" outlineLevel="0" collapsed="false">
      <c r="A10" s="7" t="s">
        <v>125</v>
      </c>
      <c r="B10" s="19" t="n">
        <f aca="false">IFERROR(SUMIFS(Partner_Data!$F:$F,Partner_Data!$A:$A,Inputs!$B$6,Partner_Data!$C:$C,$A10)/SUMIFS(Partner_Data!$E:$E,Partner_Data!$A:$A,Inputs!$B$6,Partner_Data!$C:$C,$A10),0)</f>
        <v>0.719101123595506</v>
      </c>
      <c r="C10" s="31" t="n">
        <f aca="false">IF(Inputs!$B$6="C01","—",IF(IFERROR(SUMIFS(Partner_Data!$F:$F,Partner_Data!$A:$A,"C01",Partner_Data!$C:$C,$A10)/SUMIFS(Partner_Data!$E:$E,Partner_Data!$A:$A,"C01",Partner_Data!$C:$C,$A10),0)-$B10&lt;=0,"No gain",IFERROR((IFERROR(SUMIFS(Partner_Data!$L:$L,Partner_Data!$A:$A,"C01",Partner_Data!$C:$C,$A10)/SUMIFS(Partner_Data!$K:$K,Partner_Data!$A:$A,"C01",Partner_Data!$C:$C,$A10),0)*(1+Inputs!$B$9)-IFERROR(SUMIFS(Partner_Data!$L:$L,Partner_Data!$A:$A,Inputs!$B$6,Partner_Data!$C:$C,$A10)/SUMIFS(Partner_Data!$K:$K,Partner_Data!$A:$A,Inputs!$B$6,Partner_Data!$C:$C,$A10),0))*SUMIFS(Partner_Data!$D:$D,Partner_Data!$A:$A,Inputs!$B$6,Partner_Data!$C:$C,$A10)/(SUMIFS(Partner_Data!$E:$E,Partner_Data!$A:$A,Inputs!$B$6,Partner_Data!$C:$C,$A10)*(IFERROR(SUMIFS(Partner_Data!$F:$F,Partner_Data!$A:$A,"C01",Partner_Data!$C:$C,$A10)/SUMIFS(Partner_Data!$E:$E,Partner_Data!$A:$A,"C01",Partner_Data!$C:$C,$A10),0)-$B10)),"n/a")))</f>
        <v>86.3428199191014</v>
      </c>
      <c r="D10" s="31" t="n">
        <f aca="false">IF(Inputs!$B$6="C02","—",IF(IFERROR(SUMIFS(Partner_Data!$F:$F,Partner_Data!$A:$A,"C02",Partner_Data!$C:$C,$A10)/SUMIFS(Partner_Data!$E:$E,Partner_Data!$A:$A,"C02",Partner_Data!$C:$C,$A10),0)-$B10&lt;=0,"No gain",IFERROR((IFERROR(SUMIFS(Partner_Data!$L:$L,Partner_Data!$A:$A,"C02",Partner_Data!$C:$C,$A10)/SUMIFS(Partner_Data!$K:$K,Partner_Data!$A:$A,"C02",Partner_Data!$C:$C,$A10),0)*(1+Inputs!$B$9)-IFERROR(SUMIFS(Partner_Data!$L:$L,Partner_Data!$A:$A,Inputs!$B$6,Partner_Data!$C:$C,$A10)/SUMIFS(Partner_Data!$K:$K,Partner_Data!$A:$A,Inputs!$B$6,Partner_Data!$C:$C,$A10),0))*SUMIFS(Partner_Data!$D:$D,Partner_Data!$A:$A,Inputs!$B$6,Partner_Data!$C:$C,$A10)/(SUMIFS(Partner_Data!$E:$E,Partner_Data!$A:$A,Inputs!$B$6,Partner_Data!$C:$C,$A10)*(IFERROR(SUMIFS(Partner_Data!$F:$F,Partner_Data!$A:$A,"C02",Partner_Data!$C:$C,$A10)/SUMIFS(Partner_Data!$E:$E,Partner_Data!$A:$A,"C02",Partner_Data!$C:$C,$A10),0)-$B10)),"n/a")))</f>
        <v>43.354208789254</v>
      </c>
      <c r="E10" s="31" t="str">
        <f aca="false">IF(Inputs!$B$6="C03","—",IF(IFERROR(SUMIFS(Partner_Data!$F:$F,Partner_Data!$A:$A,"C03",Partner_Data!$C:$C,$A10)/SUMIFS(Partner_Data!$E:$E,Partner_Data!$A:$A,"C03",Partner_Data!$C:$C,$A10),0)-$B10&lt;=0,"No gain",IFERROR((IFERROR(SUMIFS(Partner_Data!$L:$L,Partner_Data!$A:$A,"C03",Partner_Data!$C:$C,$A10)/SUMIFS(Partner_Data!$K:$K,Partner_Data!$A:$A,"C03",Partner_Data!$C:$C,$A10),0)*(1+Inputs!$B$9)-IFERROR(SUMIFS(Partner_Data!$L:$L,Partner_Data!$A:$A,Inputs!$B$6,Partner_Data!$C:$C,$A10)/SUMIFS(Partner_Data!$K:$K,Partner_Data!$A:$A,Inputs!$B$6,Partner_Data!$C:$C,$A10),0))*SUMIFS(Partner_Data!$D:$D,Partner_Data!$A:$A,Inputs!$B$6,Partner_Data!$C:$C,$A10)/(SUMIFS(Partner_Data!$E:$E,Partner_Data!$A:$A,Inputs!$B$6,Partner_Data!$C:$C,$A10)*(IFERROR(SUMIFS(Partner_Data!$F:$F,Partner_Data!$A:$A,"C03",Partner_Data!$C:$C,$A10)/SUMIFS(Partner_Data!$E:$E,Partner_Data!$A:$A,"C03",Partner_Data!$C:$C,$A10),0)-$B10)),"n/a")))</f>
        <v>—</v>
      </c>
      <c r="F10" s="31" t="n">
        <f aca="false">IF(Inputs!$B$6="C04","—",IF(IFERROR(SUMIFS(Partner_Data!$F:$F,Partner_Data!$A:$A,"C04",Partner_Data!$C:$C,$A10)/SUMIFS(Partner_Data!$E:$E,Partner_Data!$A:$A,"C04",Partner_Data!$C:$C,$A10),0)-$B10&lt;=0,"No gain",IFERROR((IFERROR(SUMIFS(Partner_Data!$L:$L,Partner_Data!$A:$A,"C04",Partner_Data!$C:$C,$A10)/SUMIFS(Partner_Data!$K:$K,Partner_Data!$A:$A,"C04",Partner_Data!$C:$C,$A10),0)*(1+Inputs!$B$9)-IFERROR(SUMIFS(Partner_Data!$L:$L,Partner_Data!$A:$A,Inputs!$B$6,Partner_Data!$C:$C,$A10)/SUMIFS(Partner_Data!$K:$K,Partner_Data!$A:$A,Inputs!$B$6,Partner_Data!$C:$C,$A10),0))*SUMIFS(Partner_Data!$D:$D,Partner_Data!$A:$A,Inputs!$B$6,Partner_Data!$C:$C,$A10)/(SUMIFS(Partner_Data!$E:$E,Partner_Data!$A:$A,Inputs!$B$6,Partner_Data!$C:$C,$A10)*(IFERROR(SUMIFS(Partner_Data!$F:$F,Partner_Data!$A:$A,"C04",Partner_Data!$C:$C,$A10)/SUMIFS(Partner_Data!$E:$E,Partner_Data!$A:$A,"C04",Partner_Data!$C:$C,$A10),0)-$B10)),"n/a")))</f>
        <v>57.4094369547978</v>
      </c>
      <c r="G10" s="31" t="n">
        <f aca="false">IF(Inputs!$B$6="C05","—",IF(IFERROR(SUMIFS(Partner_Data!$F:$F,Partner_Data!$A:$A,"C05",Partner_Data!$C:$C,$A10)/SUMIFS(Partner_Data!$E:$E,Partner_Data!$A:$A,"C05",Partner_Data!$C:$C,$A10),0)-$B10&lt;=0,"No gain",IFERROR((IFERROR(SUMIFS(Partner_Data!$L:$L,Partner_Data!$A:$A,"C05",Partner_Data!$C:$C,$A10)/SUMIFS(Partner_Data!$K:$K,Partner_Data!$A:$A,"C05",Partner_Data!$C:$C,$A10),0)*(1+Inputs!$B$9)-IFERROR(SUMIFS(Partner_Data!$L:$L,Partner_Data!$A:$A,Inputs!$B$6,Partner_Data!$C:$C,$A10)/SUMIFS(Partner_Data!$K:$K,Partner_Data!$A:$A,Inputs!$B$6,Partner_Data!$C:$C,$A10),0))*SUMIFS(Partner_Data!$D:$D,Partner_Data!$A:$A,Inputs!$B$6,Partner_Data!$C:$C,$A10)/(SUMIFS(Partner_Data!$E:$E,Partner_Data!$A:$A,Inputs!$B$6,Partner_Data!$C:$C,$A10)*(IFERROR(SUMIFS(Partner_Data!$F:$F,Partner_Data!$A:$A,"C05",Partner_Data!$C:$C,$A10)/SUMIFS(Partner_Data!$E:$E,Partner_Data!$A:$A,"C05",Partner_Data!$C:$C,$A10),0)-$B10)),"n/a")))</f>
        <v>28.1326577246987</v>
      </c>
    </row>
    <row r="11" customFormat="false" ht="15" hidden="false" customHeight="true" outlineLevel="0" collapsed="false">
      <c r="A11" s="7" t="s">
        <v>32</v>
      </c>
      <c r="B11" s="19" t="n">
        <f aca="false">IFERROR(SUMIFS(Partner_Data!$F:$F,Partner_Data!$A:$A,Inputs!$B$6,Partner_Data!$C:$C,$A11)/SUMIFS(Partner_Data!$E:$E,Partner_Data!$A:$A,Inputs!$B$6,Partner_Data!$C:$C,$A11),0)</f>
        <v>0.692857142857143</v>
      </c>
      <c r="C11" s="31" t="n">
        <f aca="false">IF(Inputs!$B$6="C01","—",IF(IFERROR(SUMIFS(Partner_Data!$F:$F,Partner_Data!$A:$A,"C01",Partner_Data!$C:$C,$A11)/SUMIFS(Partner_Data!$E:$E,Partner_Data!$A:$A,"C01",Partner_Data!$C:$C,$A11),0)-$B11&lt;=0,"No gain",IFERROR((IFERROR(SUMIFS(Partner_Data!$L:$L,Partner_Data!$A:$A,"C01",Partner_Data!$C:$C,$A11)/SUMIFS(Partner_Data!$K:$K,Partner_Data!$A:$A,"C01",Partner_Data!$C:$C,$A11),0)*(1+Inputs!$B$9)-IFERROR(SUMIFS(Partner_Data!$L:$L,Partner_Data!$A:$A,Inputs!$B$6,Partner_Data!$C:$C,$A11)/SUMIFS(Partner_Data!$K:$K,Partner_Data!$A:$A,Inputs!$B$6,Partner_Data!$C:$C,$A11),0))*SUMIFS(Partner_Data!$D:$D,Partner_Data!$A:$A,Inputs!$B$6,Partner_Data!$C:$C,$A11)/(SUMIFS(Partner_Data!$E:$E,Partner_Data!$A:$A,Inputs!$B$6,Partner_Data!$C:$C,$A11)*(IFERROR(SUMIFS(Partner_Data!$F:$F,Partner_Data!$A:$A,"C01",Partner_Data!$C:$C,$A11)/SUMIFS(Partner_Data!$E:$E,Partner_Data!$A:$A,"C01",Partner_Data!$C:$C,$A11),0)-$B11)),"n/a")))</f>
        <v>54.3741166262569</v>
      </c>
      <c r="D11" s="31" t="n">
        <f aca="false">IF(Inputs!$B$6="C02","—",IF(IFERROR(SUMIFS(Partner_Data!$F:$F,Partner_Data!$A:$A,"C02",Partner_Data!$C:$C,$A11)/SUMIFS(Partner_Data!$E:$E,Partner_Data!$A:$A,"C02",Partner_Data!$C:$C,$A11),0)-$B11&lt;=0,"No gain",IFERROR((IFERROR(SUMIFS(Partner_Data!$L:$L,Partner_Data!$A:$A,"C02",Partner_Data!$C:$C,$A11)/SUMIFS(Partner_Data!$K:$K,Partner_Data!$A:$A,"C02",Partner_Data!$C:$C,$A11),0)*(1+Inputs!$B$9)-IFERROR(SUMIFS(Partner_Data!$L:$L,Partner_Data!$A:$A,Inputs!$B$6,Partner_Data!$C:$C,$A11)/SUMIFS(Partner_Data!$K:$K,Partner_Data!$A:$A,Inputs!$B$6,Partner_Data!$C:$C,$A11),0))*SUMIFS(Partner_Data!$D:$D,Partner_Data!$A:$A,Inputs!$B$6,Partner_Data!$C:$C,$A11)/(SUMIFS(Partner_Data!$E:$E,Partner_Data!$A:$A,Inputs!$B$6,Partner_Data!$C:$C,$A11)*(IFERROR(SUMIFS(Partner_Data!$F:$F,Partner_Data!$A:$A,"C02",Partner_Data!$C:$C,$A11)/SUMIFS(Partner_Data!$E:$E,Partner_Data!$A:$A,"C02",Partner_Data!$C:$C,$A11),0)-$B11)),"n/a")))</f>
        <v>28.1443481625345</v>
      </c>
      <c r="E11" s="31" t="str">
        <f aca="false">IF(Inputs!$B$6="C03","—",IF(IFERROR(SUMIFS(Partner_Data!$F:$F,Partner_Data!$A:$A,"C03",Partner_Data!$C:$C,$A11)/SUMIFS(Partner_Data!$E:$E,Partner_Data!$A:$A,"C03",Partner_Data!$C:$C,$A11),0)-$B11&lt;=0,"No gain",IFERROR((IFERROR(SUMIFS(Partner_Data!$L:$L,Partner_Data!$A:$A,"C03",Partner_Data!$C:$C,$A11)/SUMIFS(Partner_Data!$K:$K,Partner_Data!$A:$A,"C03",Partner_Data!$C:$C,$A11),0)*(1+Inputs!$B$9)-IFERROR(SUMIFS(Partner_Data!$L:$L,Partner_Data!$A:$A,Inputs!$B$6,Partner_Data!$C:$C,$A11)/SUMIFS(Partner_Data!$K:$K,Partner_Data!$A:$A,Inputs!$B$6,Partner_Data!$C:$C,$A11),0))*SUMIFS(Partner_Data!$D:$D,Partner_Data!$A:$A,Inputs!$B$6,Partner_Data!$C:$C,$A11)/(SUMIFS(Partner_Data!$E:$E,Partner_Data!$A:$A,Inputs!$B$6,Partner_Data!$C:$C,$A11)*(IFERROR(SUMIFS(Partner_Data!$F:$F,Partner_Data!$A:$A,"C03",Partner_Data!$C:$C,$A11)/SUMIFS(Partner_Data!$E:$E,Partner_Data!$A:$A,"C03",Partner_Data!$C:$C,$A11),0)-$B11)),"n/a")))</f>
        <v>—</v>
      </c>
      <c r="F11" s="31" t="n">
        <f aca="false">IF(Inputs!$B$6="C04","—",IF(IFERROR(SUMIFS(Partner_Data!$F:$F,Partner_Data!$A:$A,"C04",Partner_Data!$C:$C,$A11)/SUMIFS(Partner_Data!$E:$E,Partner_Data!$A:$A,"C04",Partner_Data!$C:$C,$A11),0)-$B11&lt;=0,"No gain",IFERROR((IFERROR(SUMIFS(Partner_Data!$L:$L,Partner_Data!$A:$A,"C04",Partner_Data!$C:$C,$A11)/SUMIFS(Partner_Data!$K:$K,Partner_Data!$A:$A,"C04",Partner_Data!$C:$C,$A11),0)*(1+Inputs!$B$9)-IFERROR(SUMIFS(Partner_Data!$L:$L,Partner_Data!$A:$A,Inputs!$B$6,Partner_Data!$C:$C,$A11)/SUMIFS(Partner_Data!$K:$K,Partner_Data!$A:$A,Inputs!$B$6,Partner_Data!$C:$C,$A11),0))*SUMIFS(Partner_Data!$D:$D,Partner_Data!$A:$A,Inputs!$B$6,Partner_Data!$C:$C,$A11)/(SUMIFS(Partner_Data!$E:$E,Partner_Data!$A:$A,Inputs!$B$6,Partner_Data!$C:$C,$A11)*(IFERROR(SUMIFS(Partner_Data!$F:$F,Partner_Data!$A:$A,"C04",Partner_Data!$C:$C,$A11)/SUMIFS(Partner_Data!$E:$E,Partner_Data!$A:$A,"C04",Partner_Data!$C:$C,$A11),0)-$B11)),"n/a")))</f>
        <v>38.180518721276</v>
      </c>
      <c r="G11" s="31" t="n">
        <f aca="false">IF(Inputs!$B$6="C05","—",IF(IFERROR(SUMIFS(Partner_Data!$F:$F,Partner_Data!$A:$A,"C05",Partner_Data!$C:$C,$A11)/SUMIFS(Partner_Data!$E:$E,Partner_Data!$A:$A,"C05",Partner_Data!$C:$C,$A11),0)-$B11&lt;=0,"No gain",IFERROR((IFERROR(SUMIFS(Partner_Data!$L:$L,Partner_Data!$A:$A,"C05",Partner_Data!$C:$C,$A11)/SUMIFS(Partner_Data!$K:$K,Partner_Data!$A:$A,"C05",Partner_Data!$C:$C,$A11),0)*(1+Inputs!$B$9)-IFERROR(SUMIFS(Partner_Data!$L:$L,Partner_Data!$A:$A,Inputs!$B$6,Partner_Data!$C:$C,$A11)/SUMIFS(Partner_Data!$K:$K,Partner_Data!$A:$A,Inputs!$B$6,Partner_Data!$C:$C,$A11),0))*SUMIFS(Partner_Data!$D:$D,Partner_Data!$A:$A,Inputs!$B$6,Partner_Data!$C:$C,$A11)/(SUMIFS(Partner_Data!$E:$E,Partner_Data!$A:$A,Inputs!$B$6,Partner_Data!$C:$C,$A11)*(IFERROR(SUMIFS(Partner_Data!$F:$F,Partner_Data!$A:$A,"C05",Partner_Data!$C:$C,$A11)/SUMIFS(Partner_Data!$E:$E,Partner_Data!$A:$A,"C05",Partner_Data!$C:$C,$A11),0)-$B11)),"n/a")))</f>
        <v>40.9565651588584</v>
      </c>
    </row>
    <row r="12" customFormat="false" ht="15" hidden="false" customHeight="true" outlineLevel="0" collapsed="false">
      <c r="A12" s="7" t="s">
        <v>126</v>
      </c>
      <c r="B12" s="19" t="n">
        <f aca="false">IFERROR(SUMIFS(Partner_Data!$F:$F,Partner_Data!$A:$A,Inputs!$B$6,Partner_Data!$C:$C,$A12)/SUMIFS(Partner_Data!$E:$E,Partner_Data!$A:$A,Inputs!$B$6,Partner_Data!$C:$C,$A12),0)</f>
        <v>0.801781737193764</v>
      </c>
      <c r="C12" s="31" t="n">
        <f aca="false">IF(Inputs!$B$6="C01","—",IF(IFERROR(SUMIFS(Partner_Data!$F:$F,Partner_Data!$A:$A,"C01",Partner_Data!$C:$C,$A12)/SUMIFS(Partner_Data!$E:$E,Partner_Data!$A:$A,"C01",Partner_Data!$C:$C,$A12),0)-$B12&lt;=0,"No gain",IFERROR((IFERROR(SUMIFS(Partner_Data!$L:$L,Partner_Data!$A:$A,"C01",Partner_Data!$C:$C,$A12)/SUMIFS(Partner_Data!$K:$K,Partner_Data!$A:$A,"C01",Partner_Data!$C:$C,$A12),0)*(1+Inputs!$B$9)-IFERROR(SUMIFS(Partner_Data!$L:$L,Partner_Data!$A:$A,Inputs!$B$6,Partner_Data!$C:$C,$A12)/SUMIFS(Partner_Data!$K:$K,Partner_Data!$A:$A,Inputs!$B$6,Partner_Data!$C:$C,$A12),0))*SUMIFS(Partner_Data!$D:$D,Partner_Data!$A:$A,Inputs!$B$6,Partner_Data!$C:$C,$A12)/(SUMIFS(Partner_Data!$E:$E,Partner_Data!$A:$A,Inputs!$B$6,Partner_Data!$C:$C,$A12)*(IFERROR(SUMIFS(Partner_Data!$F:$F,Partner_Data!$A:$A,"C01",Partner_Data!$C:$C,$A12)/SUMIFS(Partner_Data!$E:$E,Partner_Data!$A:$A,"C01",Partner_Data!$C:$C,$A12),0)-$B12)),"n/a")))</f>
        <v>135.422928688844</v>
      </c>
      <c r="D12" s="31" t="n">
        <f aca="false">IF(Inputs!$B$6="C02","—",IF(IFERROR(SUMIFS(Partner_Data!$F:$F,Partner_Data!$A:$A,"C02",Partner_Data!$C:$C,$A12)/SUMIFS(Partner_Data!$E:$E,Partner_Data!$A:$A,"C02",Partner_Data!$C:$C,$A12),0)-$B12&lt;=0,"No gain",IFERROR((IFERROR(SUMIFS(Partner_Data!$L:$L,Partner_Data!$A:$A,"C02",Partner_Data!$C:$C,$A12)/SUMIFS(Partner_Data!$K:$K,Partner_Data!$A:$A,"C02",Partner_Data!$C:$C,$A12),0)*(1+Inputs!$B$9)-IFERROR(SUMIFS(Partner_Data!$L:$L,Partner_Data!$A:$A,Inputs!$B$6,Partner_Data!$C:$C,$A12)/SUMIFS(Partner_Data!$K:$K,Partner_Data!$A:$A,Inputs!$B$6,Partner_Data!$C:$C,$A12),0))*SUMIFS(Partner_Data!$D:$D,Partner_Data!$A:$A,Inputs!$B$6,Partner_Data!$C:$C,$A12)/(SUMIFS(Partner_Data!$E:$E,Partner_Data!$A:$A,Inputs!$B$6,Partner_Data!$C:$C,$A12)*(IFERROR(SUMIFS(Partner_Data!$F:$F,Partner_Data!$A:$A,"C02",Partner_Data!$C:$C,$A12)/SUMIFS(Partner_Data!$E:$E,Partner_Data!$A:$A,"C02",Partner_Data!$C:$C,$A12),0)-$B12)),"n/a")))</f>
        <v>81.3932596426921</v>
      </c>
      <c r="E12" s="31" t="str">
        <f aca="false">IF(Inputs!$B$6="C03","—",IF(IFERROR(SUMIFS(Partner_Data!$F:$F,Partner_Data!$A:$A,"C03",Partner_Data!$C:$C,$A12)/SUMIFS(Partner_Data!$E:$E,Partner_Data!$A:$A,"C03",Partner_Data!$C:$C,$A12),0)-$B12&lt;=0,"No gain",IFERROR((IFERROR(SUMIFS(Partner_Data!$L:$L,Partner_Data!$A:$A,"C03",Partner_Data!$C:$C,$A12)/SUMIFS(Partner_Data!$K:$K,Partner_Data!$A:$A,"C03",Partner_Data!$C:$C,$A12),0)*(1+Inputs!$B$9)-IFERROR(SUMIFS(Partner_Data!$L:$L,Partner_Data!$A:$A,Inputs!$B$6,Partner_Data!$C:$C,$A12)/SUMIFS(Partner_Data!$K:$K,Partner_Data!$A:$A,Inputs!$B$6,Partner_Data!$C:$C,$A12),0))*SUMIFS(Partner_Data!$D:$D,Partner_Data!$A:$A,Inputs!$B$6,Partner_Data!$C:$C,$A12)/(SUMIFS(Partner_Data!$E:$E,Partner_Data!$A:$A,Inputs!$B$6,Partner_Data!$C:$C,$A12)*(IFERROR(SUMIFS(Partner_Data!$F:$F,Partner_Data!$A:$A,"C03",Partner_Data!$C:$C,$A12)/SUMIFS(Partner_Data!$E:$E,Partner_Data!$A:$A,"C03",Partner_Data!$C:$C,$A12),0)-$B12)),"n/a")))</f>
        <v>—</v>
      </c>
      <c r="F12" s="31" t="n">
        <f aca="false">IF(Inputs!$B$6="C04","—",IF(IFERROR(SUMIFS(Partner_Data!$F:$F,Partner_Data!$A:$A,"C04",Partner_Data!$C:$C,$A12)/SUMIFS(Partner_Data!$E:$E,Partner_Data!$A:$A,"C04",Partner_Data!$C:$C,$A12),0)-$B12&lt;=0,"No gain",IFERROR((IFERROR(SUMIFS(Partner_Data!$L:$L,Partner_Data!$A:$A,"C04",Partner_Data!$C:$C,$A12)/SUMIFS(Partner_Data!$K:$K,Partner_Data!$A:$A,"C04",Partner_Data!$C:$C,$A12),0)*(1+Inputs!$B$9)-IFERROR(SUMIFS(Partner_Data!$L:$L,Partner_Data!$A:$A,Inputs!$B$6,Partner_Data!$C:$C,$A12)/SUMIFS(Partner_Data!$K:$K,Partner_Data!$A:$A,Inputs!$B$6,Partner_Data!$C:$C,$A12),0))*SUMIFS(Partner_Data!$D:$D,Partner_Data!$A:$A,Inputs!$B$6,Partner_Data!$C:$C,$A12)/(SUMIFS(Partner_Data!$E:$E,Partner_Data!$A:$A,Inputs!$B$6,Partner_Data!$C:$C,$A12)*(IFERROR(SUMIFS(Partner_Data!$F:$F,Partner_Data!$A:$A,"C04",Partner_Data!$C:$C,$A12)/SUMIFS(Partner_Data!$E:$E,Partner_Data!$A:$A,"C04",Partner_Data!$C:$C,$A12),0)-$B12)),"n/a")))</f>
        <v>2278.71141624467</v>
      </c>
      <c r="G12" s="31" t="n">
        <f aca="false">IF(Inputs!$B$6="C05","—",IF(IFERROR(SUMIFS(Partner_Data!$F:$F,Partner_Data!$A:$A,"C05",Partner_Data!$C:$C,$A12)/SUMIFS(Partner_Data!$E:$E,Partner_Data!$A:$A,"C05",Partner_Data!$C:$C,$A12),0)-$B12&lt;=0,"No gain",IFERROR((IFERROR(SUMIFS(Partner_Data!$L:$L,Partner_Data!$A:$A,"C05",Partner_Data!$C:$C,$A12)/SUMIFS(Partner_Data!$K:$K,Partner_Data!$A:$A,"C05",Partner_Data!$C:$C,$A12),0)*(1+Inputs!$B$9)-IFERROR(SUMIFS(Partner_Data!$L:$L,Partner_Data!$A:$A,Inputs!$B$6,Partner_Data!$C:$C,$A12)/SUMIFS(Partner_Data!$K:$K,Partner_Data!$A:$A,Inputs!$B$6,Partner_Data!$C:$C,$A12),0))*SUMIFS(Partner_Data!$D:$D,Partner_Data!$A:$A,Inputs!$B$6,Partner_Data!$C:$C,$A12)/(SUMIFS(Partner_Data!$E:$E,Partner_Data!$A:$A,Inputs!$B$6,Partner_Data!$C:$C,$A12)*(IFERROR(SUMIFS(Partner_Data!$F:$F,Partner_Data!$A:$A,"C05",Partner_Data!$C:$C,$A12)/SUMIFS(Partner_Data!$E:$E,Partner_Data!$A:$A,"C05",Partner_Data!$C:$C,$A12),0)-$B12)),"n/a")))</f>
        <v>123.504221852927</v>
      </c>
    </row>
    <row r="13" customFormat="false" ht="15" hidden="false" customHeight="true" outlineLevel="0" collapsed="false">
      <c r="A13" s="7" t="s">
        <v>127</v>
      </c>
      <c r="B13" s="19" t="n">
        <f aca="false">IFERROR(SUMIFS(Partner_Data!$F:$F,Partner_Data!$A:$A,Inputs!$B$6,Partner_Data!$C:$C,$A13)/SUMIFS(Partner_Data!$E:$E,Partner_Data!$A:$A,Inputs!$B$6,Partner_Data!$C:$C,$A13),0)</f>
        <v>0.833333333333333</v>
      </c>
      <c r="C13" s="31" t="n">
        <f aca="false">IF(Inputs!$B$6="C01","—",IF(IFERROR(SUMIFS(Partner_Data!$F:$F,Partner_Data!$A:$A,"C01",Partner_Data!$C:$C,$A13)/SUMIFS(Partner_Data!$E:$E,Partner_Data!$A:$A,"C01",Partner_Data!$C:$C,$A13),0)-$B13&lt;=0,"No gain",IFERROR((IFERROR(SUMIFS(Partner_Data!$L:$L,Partner_Data!$A:$A,"C01",Partner_Data!$C:$C,$A13)/SUMIFS(Partner_Data!$K:$K,Partner_Data!$A:$A,"C01",Partner_Data!$C:$C,$A13),0)*(1+Inputs!$B$9)-IFERROR(SUMIFS(Partner_Data!$L:$L,Partner_Data!$A:$A,Inputs!$B$6,Partner_Data!$C:$C,$A13)/SUMIFS(Partner_Data!$K:$K,Partner_Data!$A:$A,Inputs!$B$6,Partner_Data!$C:$C,$A13),0))*SUMIFS(Partner_Data!$D:$D,Partner_Data!$A:$A,Inputs!$B$6,Partner_Data!$C:$C,$A13)/(SUMIFS(Partner_Data!$E:$E,Partner_Data!$A:$A,Inputs!$B$6,Partner_Data!$C:$C,$A13)*(IFERROR(SUMIFS(Partner_Data!$F:$F,Partner_Data!$A:$A,"C01",Partner_Data!$C:$C,$A13)/SUMIFS(Partner_Data!$E:$E,Partner_Data!$A:$A,"C01",Partner_Data!$C:$C,$A13),0)-$B13)),"n/a")))</f>
        <v>214.534072712419</v>
      </c>
      <c r="D13" s="31" t="n">
        <f aca="false">IF(Inputs!$B$6="C02","—",IF(IFERROR(SUMIFS(Partner_Data!$F:$F,Partner_Data!$A:$A,"C02",Partner_Data!$C:$C,$A13)/SUMIFS(Partner_Data!$E:$E,Partner_Data!$A:$A,"C02",Partner_Data!$C:$C,$A13),0)-$B13&lt;=0,"No gain",IFERROR((IFERROR(SUMIFS(Partner_Data!$L:$L,Partner_Data!$A:$A,"C02",Partner_Data!$C:$C,$A13)/SUMIFS(Partner_Data!$K:$K,Partner_Data!$A:$A,"C02",Partner_Data!$C:$C,$A13),0)*(1+Inputs!$B$9)-IFERROR(SUMIFS(Partner_Data!$L:$L,Partner_Data!$A:$A,Inputs!$B$6,Partner_Data!$C:$C,$A13)/SUMIFS(Partner_Data!$K:$K,Partner_Data!$A:$A,Inputs!$B$6,Partner_Data!$C:$C,$A13),0))*SUMIFS(Partner_Data!$D:$D,Partner_Data!$A:$A,Inputs!$B$6,Partner_Data!$C:$C,$A13)/(SUMIFS(Partner_Data!$E:$E,Partner_Data!$A:$A,Inputs!$B$6,Partner_Data!$C:$C,$A13)*(IFERROR(SUMIFS(Partner_Data!$F:$F,Partner_Data!$A:$A,"C02",Partner_Data!$C:$C,$A13)/SUMIFS(Partner_Data!$E:$E,Partner_Data!$A:$A,"C02",Partner_Data!$C:$C,$A13),0)-$B13)),"n/a")))</f>
        <v>110.892307692308</v>
      </c>
      <c r="E13" s="31" t="str">
        <f aca="false">IF(Inputs!$B$6="C03","—",IF(IFERROR(SUMIFS(Partner_Data!$F:$F,Partner_Data!$A:$A,"C03",Partner_Data!$C:$C,$A13)/SUMIFS(Partner_Data!$E:$E,Partner_Data!$A:$A,"C03",Partner_Data!$C:$C,$A13),0)-$B13&lt;=0,"No gain",IFERROR((IFERROR(SUMIFS(Partner_Data!$L:$L,Partner_Data!$A:$A,"C03",Partner_Data!$C:$C,$A13)/SUMIFS(Partner_Data!$K:$K,Partner_Data!$A:$A,"C03",Partner_Data!$C:$C,$A13),0)*(1+Inputs!$B$9)-IFERROR(SUMIFS(Partner_Data!$L:$L,Partner_Data!$A:$A,Inputs!$B$6,Partner_Data!$C:$C,$A13)/SUMIFS(Partner_Data!$K:$K,Partner_Data!$A:$A,Inputs!$B$6,Partner_Data!$C:$C,$A13),0))*SUMIFS(Partner_Data!$D:$D,Partner_Data!$A:$A,Inputs!$B$6,Partner_Data!$C:$C,$A13)/(SUMIFS(Partner_Data!$E:$E,Partner_Data!$A:$A,Inputs!$B$6,Partner_Data!$C:$C,$A13)*(IFERROR(SUMIFS(Partner_Data!$F:$F,Partner_Data!$A:$A,"C03",Partner_Data!$C:$C,$A13)/SUMIFS(Partner_Data!$E:$E,Partner_Data!$A:$A,"C03",Partner_Data!$C:$C,$A13),0)-$B13)),"n/a")))</f>
        <v>—</v>
      </c>
      <c r="F13" s="31" t="n">
        <f aca="false">IF(Inputs!$B$6="C04","—",IF(IFERROR(SUMIFS(Partner_Data!$F:$F,Partner_Data!$A:$A,"C04",Partner_Data!$C:$C,$A13)/SUMIFS(Partner_Data!$E:$E,Partner_Data!$A:$A,"C04",Partner_Data!$C:$C,$A13),0)-$B13&lt;=0,"No gain",IFERROR((IFERROR(SUMIFS(Partner_Data!$L:$L,Partner_Data!$A:$A,"C04",Partner_Data!$C:$C,$A13)/SUMIFS(Partner_Data!$K:$K,Partner_Data!$A:$A,"C04",Partner_Data!$C:$C,$A13),0)*(1+Inputs!$B$9)-IFERROR(SUMIFS(Partner_Data!$L:$L,Partner_Data!$A:$A,Inputs!$B$6,Partner_Data!$C:$C,$A13)/SUMIFS(Partner_Data!$K:$K,Partner_Data!$A:$A,Inputs!$B$6,Partner_Data!$C:$C,$A13),0))*SUMIFS(Partner_Data!$D:$D,Partner_Data!$A:$A,Inputs!$B$6,Partner_Data!$C:$C,$A13)/(SUMIFS(Partner_Data!$E:$E,Partner_Data!$A:$A,Inputs!$B$6,Partner_Data!$C:$C,$A13)*(IFERROR(SUMIFS(Partner_Data!$F:$F,Partner_Data!$A:$A,"C04",Partner_Data!$C:$C,$A13)/SUMIFS(Partner_Data!$E:$E,Partner_Data!$A:$A,"C04",Partner_Data!$C:$C,$A13),0)-$B13)),"n/a")))</f>
        <v>1109.65833333333</v>
      </c>
      <c r="G13" s="31" t="n">
        <f aca="false">IF(Inputs!$B$6="C05","—",IF(IFERROR(SUMIFS(Partner_Data!$F:$F,Partner_Data!$A:$A,"C05",Partner_Data!$C:$C,$A13)/SUMIFS(Partner_Data!$E:$E,Partner_Data!$A:$A,"C05",Partner_Data!$C:$C,$A13),0)-$B13&lt;=0,"No gain",IFERROR((IFERROR(SUMIFS(Partner_Data!$L:$L,Partner_Data!$A:$A,"C05",Partner_Data!$C:$C,$A13)/SUMIFS(Partner_Data!$K:$K,Partner_Data!$A:$A,"C05",Partner_Data!$C:$C,$A13),0)*(1+Inputs!$B$9)-IFERROR(SUMIFS(Partner_Data!$L:$L,Partner_Data!$A:$A,Inputs!$B$6,Partner_Data!$C:$C,$A13)/SUMIFS(Partner_Data!$K:$K,Partner_Data!$A:$A,Inputs!$B$6,Partner_Data!$C:$C,$A13),0))*SUMIFS(Partner_Data!$D:$D,Partner_Data!$A:$A,Inputs!$B$6,Partner_Data!$C:$C,$A13)/(SUMIFS(Partner_Data!$E:$E,Partner_Data!$A:$A,Inputs!$B$6,Partner_Data!$C:$C,$A13)*(IFERROR(SUMIFS(Partner_Data!$F:$F,Partner_Data!$A:$A,"C05",Partner_Data!$C:$C,$A13)/SUMIFS(Partner_Data!$E:$E,Partner_Data!$A:$A,"C05",Partner_Data!$C:$C,$A13),0)-$B13)),"n/a")))</f>
        <v>248.521943346509</v>
      </c>
    </row>
    <row r="14" customFormat="false" ht="15" hidden="false" customHeight="true" outlineLevel="0" collapsed="false">
      <c r="A14" s="7" t="s">
        <v>128</v>
      </c>
      <c r="B14" s="19" t="n">
        <f aca="false">IFERROR(SUMIFS(Partner_Data!$F:$F,Partner_Data!$A:$A,Inputs!$B$6,Partner_Data!$C:$C,$A14)/SUMIFS(Partner_Data!$E:$E,Partner_Data!$A:$A,Inputs!$B$6,Partner_Data!$C:$C,$A14),0)</f>
        <v>0.784681306909481</v>
      </c>
      <c r="C14" s="31" t="n">
        <f aca="false">IF(Inputs!$B$6="C01","—",IF(IFERROR(SUMIFS(Partner_Data!$F:$F,Partner_Data!$A:$A,"C01",Partner_Data!$C:$C,$A14)/SUMIFS(Partner_Data!$E:$E,Partner_Data!$A:$A,"C01",Partner_Data!$C:$C,$A14),0)-$B14&lt;=0,"No gain",IFERROR((IFERROR(SUMIFS(Partner_Data!$L:$L,Partner_Data!$A:$A,"C01",Partner_Data!$C:$C,$A14)/SUMIFS(Partner_Data!$K:$K,Partner_Data!$A:$A,"C01",Partner_Data!$C:$C,$A14),0)*(1+Inputs!$B$9)-IFERROR(SUMIFS(Partner_Data!$L:$L,Partner_Data!$A:$A,Inputs!$B$6,Partner_Data!$C:$C,$A14)/SUMIFS(Partner_Data!$K:$K,Partner_Data!$A:$A,Inputs!$B$6,Partner_Data!$C:$C,$A14),0))*SUMIFS(Partner_Data!$D:$D,Partner_Data!$A:$A,Inputs!$B$6,Partner_Data!$C:$C,$A14)/(SUMIFS(Partner_Data!$E:$E,Partner_Data!$A:$A,Inputs!$B$6,Partner_Data!$C:$C,$A14)*(IFERROR(SUMIFS(Partner_Data!$F:$F,Partner_Data!$A:$A,"C01",Partner_Data!$C:$C,$A14)/SUMIFS(Partner_Data!$E:$E,Partner_Data!$A:$A,"C01",Partner_Data!$C:$C,$A14),0)-$B14)),"n/a")))</f>
        <v>100.669353658178</v>
      </c>
      <c r="D14" s="31" t="n">
        <f aca="false">IF(Inputs!$B$6="C02","—",IF(IFERROR(SUMIFS(Partner_Data!$F:$F,Partner_Data!$A:$A,"C02",Partner_Data!$C:$C,$A14)/SUMIFS(Partner_Data!$E:$E,Partner_Data!$A:$A,"C02",Partner_Data!$C:$C,$A14),0)-$B14&lt;=0,"No gain",IFERROR((IFERROR(SUMIFS(Partner_Data!$L:$L,Partner_Data!$A:$A,"C02",Partner_Data!$C:$C,$A14)/SUMIFS(Partner_Data!$K:$K,Partner_Data!$A:$A,"C02",Partner_Data!$C:$C,$A14),0)*(1+Inputs!$B$9)-IFERROR(SUMIFS(Partner_Data!$L:$L,Partner_Data!$A:$A,Inputs!$B$6,Partner_Data!$C:$C,$A14)/SUMIFS(Partner_Data!$K:$K,Partner_Data!$A:$A,Inputs!$B$6,Partner_Data!$C:$C,$A14),0))*SUMIFS(Partner_Data!$D:$D,Partner_Data!$A:$A,Inputs!$B$6,Partner_Data!$C:$C,$A14)/(SUMIFS(Partner_Data!$E:$E,Partner_Data!$A:$A,Inputs!$B$6,Partner_Data!$C:$C,$A14)*(IFERROR(SUMIFS(Partner_Data!$F:$F,Partner_Data!$A:$A,"C02",Partner_Data!$C:$C,$A14)/SUMIFS(Partner_Data!$E:$E,Partner_Data!$A:$A,"C02",Partner_Data!$C:$C,$A14),0)-$B14)),"n/a")))</f>
        <v>69.8344407107611</v>
      </c>
      <c r="E14" s="31" t="str">
        <f aca="false">IF(Inputs!$B$6="C03","—",IF(IFERROR(SUMIFS(Partner_Data!$F:$F,Partner_Data!$A:$A,"C03",Partner_Data!$C:$C,$A14)/SUMIFS(Partner_Data!$E:$E,Partner_Data!$A:$A,"C03",Partner_Data!$C:$C,$A14),0)-$B14&lt;=0,"No gain",IFERROR((IFERROR(SUMIFS(Partner_Data!$L:$L,Partner_Data!$A:$A,"C03",Partner_Data!$C:$C,$A14)/SUMIFS(Partner_Data!$K:$K,Partner_Data!$A:$A,"C03",Partner_Data!$C:$C,$A14),0)*(1+Inputs!$B$9)-IFERROR(SUMIFS(Partner_Data!$L:$L,Partner_Data!$A:$A,Inputs!$B$6,Partner_Data!$C:$C,$A14)/SUMIFS(Partner_Data!$K:$K,Partner_Data!$A:$A,Inputs!$B$6,Partner_Data!$C:$C,$A14),0))*SUMIFS(Partner_Data!$D:$D,Partner_Data!$A:$A,Inputs!$B$6,Partner_Data!$C:$C,$A14)/(SUMIFS(Partner_Data!$E:$E,Partner_Data!$A:$A,Inputs!$B$6,Partner_Data!$C:$C,$A14)*(IFERROR(SUMIFS(Partner_Data!$F:$F,Partner_Data!$A:$A,"C03",Partner_Data!$C:$C,$A14)/SUMIFS(Partner_Data!$E:$E,Partner_Data!$A:$A,"C03",Partner_Data!$C:$C,$A14),0)-$B14)),"n/a")))</f>
        <v>—</v>
      </c>
      <c r="F14" s="31" t="n">
        <f aca="false">IF(Inputs!$B$6="C04","—",IF(IFERROR(SUMIFS(Partner_Data!$F:$F,Partner_Data!$A:$A,"C04",Partner_Data!$C:$C,$A14)/SUMIFS(Partner_Data!$E:$E,Partner_Data!$A:$A,"C04",Partner_Data!$C:$C,$A14),0)-$B14&lt;=0,"No gain",IFERROR((IFERROR(SUMIFS(Partner_Data!$L:$L,Partner_Data!$A:$A,"C04",Partner_Data!$C:$C,$A14)/SUMIFS(Partner_Data!$K:$K,Partner_Data!$A:$A,"C04",Partner_Data!$C:$C,$A14),0)*(1+Inputs!$B$9)-IFERROR(SUMIFS(Partner_Data!$L:$L,Partner_Data!$A:$A,Inputs!$B$6,Partner_Data!$C:$C,$A14)/SUMIFS(Partner_Data!$K:$K,Partner_Data!$A:$A,Inputs!$B$6,Partner_Data!$C:$C,$A14),0))*SUMIFS(Partner_Data!$D:$D,Partner_Data!$A:$A,Inputs!$B$6,Partner_Data!$C:$C,$A14)/(SUMIFS(Partner_Data!$E:$E,Partner_Data!$A:$A,Inputs!$B$6,Partner_Data!$C:$C,$A14)*(IFERROR(SUMIFS(Partner_Data!$F:$F,Partner_Data!$A:$A,"C04",Partner_Data!$C:$C,$A14)/SUMIFS(Partner_Data!$E:$E,Partner_Data!$A:$A,"C04",Partner_Data!$C:$C,$A14),0)-$B14)),"n/a")))</f>
        <v>68.8793654296189</v>
      </c>
      <c r="G14" s="31" t="n">
        <f aca="false">IF(Inputs!$B$6="C05","—",IF(IFERROR(SUMIFS(Partner_Data!$F:$F,Partner_Data!$A:$A,"C05",Partner_Data!$C:$C,$A14)/SUMIFS(Partner_Data!$E:$E,Partner_Data!$A:$A,"C05",Partner_Data!$C:$C,$A14),0)-$B14&lt;=0,"No gain",IFERROR((IFERROR(SUMIFS(Partner_Data!$L:$L,Partner_Data!$A:$A,"C05",Partner_Data!$C:$C,$A14)/SUMIFS(Partner_Data!$K:$K,Partner_Data!$A:$A,"C05",Partner_Data!$C:$C,$A14),0)*(1+Inputs!$B$9)-IFERROR(SUMIFS(Partner_Data!$L:$L,Partner_Data!$A:$A,Inputs!$B$6,Partner_Data!$C:$C,$A14)/SUMIFS(Partner_Data!$K:$K,Partner_Data!$A:$A,Inputs!$B$6,Partner_Data!$C:$C,$A14),0))*SUMIFS(Partner_Data!$D:$D,Partner_Data!$A:$A,Inputs!$B$6,Partner_Data!$C:$C,$A14)/(SUMIFS(Partner_Data!$E:$E,Partner_Data!$A:$A,Inputs!$B$6,Partner_Data!$C:$C,$A14)*(IFERROR(SUMIFS(Partner_Data!$F:$F,Partner_Data!$A:$A,"C05",Partner_Data!$C:$C,$A14)/SUMIFS(Partner_Data!$E:$E,Partner_Data!$A:$A,"C05",Partner_Data!$C:$C,$A14),0)-$B14)),"n/a")))</f>
        <v>84.7605971077767</v>
      </c>
    </row>
    <row r="16" customFormat="false" ht="15" hidden="false" customHeight="true" outlineLevel="0" collapsed="false">
      <c r="A16" s="3" t="s">
        <v>129</v>
      </c>
    </row>
    <row r="17" customFormat="false" ht="26.25" hidden="false" customHeight="true" outlineLevel="0" collapsed="false">
      <c r="A17" s="6" t="s">
        <v>60</v>
      </c>
      <c r="B17" s="6" t="s">
        <v>130</v>
      </c>
      <c r="C17" s="6" t="s">
        <v>131</v>
      </c>
      <c r="D17" s="6" t="s">
        <v>132</v>
      </c>
      <c r="E17" s="6" t="s">
        <v>133</v>
      </c>
      <c r="F17" s="6" t="s">
        <v>134</v>
      </c>
      <c r="G17" s="6" t="s">
        <v>135</v>
      </c>
    </row>
    <row r="18" customFormat="false" ht="15" hidden="false" customHeight="true" outlineLevel="0" collapsed="false">
      <c r="A18" s="7" t="s">
        <v>122</v>
      </c>
      <c r="B18" s="18" t="n">
        <f aca="false">SUMIFS(Partner_Data!$E:$E,Partner_Data!$A:$A,Inputs!$B$6,Partner_Data!$C:$C,$A18)</f>
        <v>238</v>
      </c>
      <c r="C18" s="18" t="n">
        <f aca="false">SUMIFS(Partner_Data!$E:$E,Partner_Data!$A:$A,"C01",Partner_Data!$C:$C,$A18)</f>
        <v>625</v>
      </c>
      <c r="D18" s="18" t="n">
        <f aca="false">SUMIFS(Partner_Data!$E:$E,Partner_Data!$A:$A,"C02",Partner_Data!$C:$C,$A18)</f>
        <v>359</v>
      </c>
      <c r="E18" s="18" t="n">
        <f aca="false">SUMIFS(Partner_Data!$E:$E,Partner_Data!$A:$A,"C03",Partner_Data!$C:$C,$A18)</f>
        <v>238</v>
      </c>
      <c r="F18" s="18" t="n">
        <f aca="false">SUMIFS(Partner_Data!$E:$E,Partner_Data!$A:$A,"C04",Partner_Data!$C:$C,$A18)</f>
        <v>494</v>
      </c>
      <c r="G18" s="18" t="n">
        <f aca="false">SUMIFS(Partner_Data!$E:$E,Partner_Data!$A:$A,"C05",Partner_Data!$C:$C,$A18)</f>
        <v>294</v>
      </c>
    </row>
    <row r="19" customFormat="false" ht="15" hidden="false" customHeight="true" outlineLevel="0" collapsed="false">
      <c r="A19" s="7" t="s">
        <v>123</v>
      </c>
      <c r="B19" s="18" t="n">
        <f aca="false">SUMIFS(Partner_Data!$E:$E,Partner_Data!$A:$A,Inputs!$B$6,Partner_Data!$C:$C,$A19)</f>
        <v>169</v>
      </c>
      <c r="C19" s="18" t="n">
        <f aca="false">SUMIFS(Partner_Data!$E:$E,Partner_Data!$A:$A,"C01",Partner_Data!$C:$C,$A19)</f>
        <v>104</v>
      </c>
      <c r="D19" s="18" t="n">
        <f aca="false">SUMIFS(Partner_Data!$E:$E,Partner_Data!$A:$A,"C02",Partner_Data!$C:$C,$A19)</f>
        <v>122</v>
      </c>
      <c r="E19" s="18" t="n">
        <f aca="false">SUMIFS(Partner_Data!$E:$E,Partner_Data!$A:$A,"C03",Partner_Data!$C:$C,$A19)</f>
        <v>169</v>
      </c>
      <c r="F19" s="18" t="n">
        <f aca="false">SUMIFS(Partner_Data!$E:$E,Partner_Data!$A:$A,"C04",Partner_Data!$C:$C,$A19)</f>
        <v>80</v>
      </c>
      <c r="G19" s="18" t="n">
        <f aca="false">SUMIFS(Partner_Data!$E:$E,Partner_Data!$A:$A,"C05",Partner_Data!$C:$C,$A19)</f>
        <v>109</v>
      </c>
    </row>
    <row r="20" customFormat="false" ht="15" hidden="false" customHeight="true" outlineLevel="0" collapsed="false">
      <c r="A20" s="7" t="s">
        <v>124</v>
      </c>
      <c r="B20" s="18" t="n">
        <f aca="false">SUMIFS(Partner_Data!$E:$E,Partner_Data!$A:$A,Inputs!$B$6,Partner_Data!$C:$C,$A20)</f>
        <v>710</v>
      </c>
      <c r="C20" s="18" t="n">
        <f aca="false">SUMIFS(Partner_Data!$E:$E,Partner_Data!$A:$A,"C01",Partner_Data!$C:$C,$A20)</f>
        <v>968</v>
      </c>
      <c r="D20" s="18" t="n">
        <f aca="false">SUMIFS(Partner_Data!$E:$E,Partner_Data!$A:$A,"C02",Partner_Data!$C:$C,$A20)</f>
        <v>769</v>
      </c>
      <c r="E20" s="18" t="n">
        <f aca="false">SUMIFS(Partner_Data!$E:$E,Partner_Data!$A:$A,"C03",Partner_Data!$C:$C,$A20)</f>
        <v>710</v>
      </c>
      <c r="F20" s="18" t="n">
        <f aca="false">SUMIFS(Partner_Data!$E:$E,Partner_Data!$A:$A,"C04",Partner_Data!$C:$C,$A20)</f>
        <v>379</v>
      </c>
      <c r="G20" s="18" t="n">
        <f aca="false">SUMIFS(Partner_Data!$E:$E,Partner_Data!$A:$A,"C05",Partner_Data!$C:$C,$A20)</f>
        <v>466</v>
      </c>
    </row>
    <row r="21" customFormat="false" ht="15" hidden="false" customHeight="true" outlineLevel="0" collapsed="false">
      <c r="A21" s="7" t="s">
        <v>125</v>
      </c>
      <c r="B21" s="18" t="n">
        <f aca="false">SUMIFS(Partner_Data!$E:$E,Partner_Data!$A:$A,Inputs!$B$6,Partner_Data!$C:$C,$A21)</f>
        <v>89</v>
      </c>
      <c r="C21" s="18" t="n">
        <f aca="false">SUMIFS(Partner_Data!$E:$E,Partner_Data!$A:$A,"C01",Partner_Data!$C:$C,$A21)</f>
        <v>56</v>
      </c>
      <c r="D21" s="18" t="n">
        <f aca="false">SUMIFS(Partner_Data!$E:$E,Partner_Data!$A:$A,"C02",Partner_Data!$C:$C,$A21)</f>
        <v>71</v>
      </c>
      <c r="E21" s="18" t="n">
        <f aca="false">SUMIFS(Partner_Data!$E:$E,Partner_Data!$A:$A,"C03",Partner_Data!$C:$C,$A21)</f>
        <v>89</v>
      </c>
      <c r="F21" s="18" t="n">
        <f aca="false">SUMIFS(Partner_Data!$E:$E,Partner_Data!$A:$A,"C04",Partner_Data!$C:$C,$A21)</f>
        <v>50</v>
      </c>
      <c r="G21" s="18" t="n">
        <f aca="false">SUMIFS(Partner_Data!$E:$E,Partner_Data!$A:$A,"C05",Partner_Data!$C:$C,$A21)</f>
        <v>49</v>
      </c>
    </row>
    <row r="22" customFormat="false" ht="15" hidden="false" customHeight="true" outlineLevel="0" collapsed="false">
      <c r="A22" s="7" t="s">
        <v>32</v>
      </c>
      <c r="B22" s="18" t="n">
        <f aca="false">SUMIFS(Partner_Data!$E:$E,Partner_Data!$A:$A,Inputs!$B$6,Partner_Data!$C:$C,$A22)</f>
        <v>140</v>
      </c>
      <c r="C22" s="18" t="n">
        <f aca="false">SUMIFS(Partner_Data!$E:$E,Partner_Data!$A:$A,"C01",Partner_Data!$C:$C,$A22)</f>
        <v>87</v>
      </c>
      <c r="D22" s="18" t="n">
        <f aca="false">SUMIFS(Partner_Data!$E:$E,Partner_Data!$A:$A,"C02",Partner_Data!$C:$C,$A22)</f>
        <v>123</v>
      </c>
      <c r="E22" s="18" t="n">
        <f aca="false">SUMIFS(Partner_Data!$E:$E,Partner_Data!$A:$A,"C03",Partner_Data!$C:$C,$A22)</f>
        <v>140</v>
      </c>
      <c r="F22" s="18" t="n">
        <f aca="false">SUMIFS(Partner_Data!$E:$E,Partner_Data!$A:$A,"C04",Partner_Data!$C:$C,$A22)</f>
        <v>71</v>
      </c>
      <c r="G22" s="18" t="n">
        <f aca="false">SUMIFS(Partner_Data!$E:$E,Partner_Data!$A:$A,"C05",Partner_Data!$C:$C,$A22)</f>
        <v>79</v>
      </c>
    </row>
    <row r="23" customFormat="false" ht="15" hidden="false" customHeight="true" outlineLevel="0" collapsed="false">
      <c r="A23" s="7" t="s">
        <v>126</v>
      </c>
      <c r="B23" s="18" t="n">
        <f aca="false">SUMIFS(Partner_Data!$E:$E,Partner_Data!$A:$A,Inputs!$B$6,Partner_Data!$C:$C,$A23)</f>
        <v>449</v>
      </c>
      <c r="C23" s="18" t="n">
        <f aca="false">SUMIFS(Partner_Data!$E:$E,Partner_Data!$A:$A,"C01",Partner_Data!$C:$C,$A23)</f>
        <v>281</v>
      </c>
      <c r="D23" s="18" t="n">
        <f aca="false">SUMIFS(Partner_Data!$E:$E,Partner_Data!$A:$A,"C02",Partner_Data!$C:$C,$A23)</f>
        <v>354</v>
      </c>
      <c r="E23" s="18" t="n">
        <f aca="false">SUMIFS(Partner_Data!$E:$E,Partner_Data!$A:$A,"C03",Partner_Data!$C:$C,$A23)</f>
        <v>449</v>
      </c>
      <c r="F23" s="18" t="n">
        <f aca="false">SUMIFS(Partner_Data!$E:$E,Partner_Data!$A:$A,"C04",Partner_Data!$C:$C,$A23)</f>
        <v>209</v>
      </c>
      <c r="G23" s="18" t="n">
        <f aca="false">SUMIFS(Partner_Data!$E:$E,Partner_Data!$A:$A,"C05",Partner_Data!$C:$C,$A23)</f>
        <v>249</v>
      </c>
    </row>
    <row r="24" customFormat="false" ht="15" hidden="false" customHeight="true" outlineLevel="0" collapsed="false">
      <c r="A24" s="7" t="s">
        <v>127</v>
      </c>
      <c r="B24" s="18" t="n">
        <f aca="false">SUMIFS(Partner_Data!$E:$E,Partner_Data!$A:$A,Inputs!$B$6,Partner_Data!$C:$C,$A24)</f>
        <v>72</v>
      </c>
      <c r="C24" s="18" t="n">
        <f aca="false">SUMIFS(Partner_Data!$E:$E,Partner_Data!$A:$A,"C01",Partner_Data!$C:$C,$A24)</f>
        <v>47</v>
      </c>
      <c r="D24" s="18" t="n">
        <f aca="false">SUMIFS(Partner_Data!$E:$E,Partner_Data!$A:$A,"C02",Partner_Data!$C:$C,$A24)</f>
        <v>48</v>
      </c>
      <c r="E24" s="18" t="n">
        <f aca="false">SUMIFS(Partner_Data!$E:$E,Partner_Data!$A:$A,"C03",Partner_Data!$C:$C,$A24)</f>
        <v>72</v>
      </c>
      <c r="F24" s="18" t="n">
        <f aca="false">SUMIFS(Partner_Data!$E:$E,Partner_Data!$A:$A,"C04",Partner_Data!$C:$C,$A24)</f>
        <v>31</v>
      </c>
      <c r="G24" s="18" t="n">
        <f aca="false">SUMIFS(Partner_Data!$E:$E,Partner_Data!$A:$A,"C05",Partner_Data!$C:$C,$A24)</f>
        <v>47</v>
      </c>
    </row>
    <row r="25" customFormat="false" ht="15" hidden="false" customHeight="true" outlineLevel="0" collapsed="false">
      <c r="A25" s="7" t="s">
        <v>128</v>
      </c>
      <c r="B25" s="18" t="n">
        <f aca="false">SUMIFS(Partner_Data!$E:$E,Partner_Data!$A:$A,Inputs!$B$6,Partner_Data!$C:$C,$A25)</f>
        <v>1867</v>
      </c>
      <c r="C25" s="18" t="n">
        <f aca="false">SUMIFS(Partner_Data!$E:$E,Partner_Data!$A:$A,"C01",Partner_Data!$C:$C,$A25)</f>
        <v>2168</v>
      </c>
      <c r="D25" s="18" t="n">
        <f aca="false">SUMIFS(Partner_Data!$E:$E,Partner_Data!$A:$A,"C02",Partner_Data!$C:$C,$A25)</f>
        <v>1846</v>
      </c>
      <c r="E25" s="18" t="n">
        <f aca="false">SUMIFS(Partner_Data!$E:$E,Partner_Data!$A:$A,"C03",Partner_Data!$C:$C,$A25)</f>
        <v>1867</v>
      </c>
      <c r="F25" s="18" t="n">
        <f aca="false">SUMIFS(Partner_Data!$E:$E,Partner_Data!$A:$A,"C04",Partner_Data!$C:$C,$A25)</f>
        <v>1314</v>
      </c>
      <c r="G25" s="18" t="n">
        <f aca="false">SUMIFS(Partner_Data!$E:$E,Partner_Data!$A:$A,"C05",Partner_Data!$C:$C,$A25)</f>
        <v>1293</v>
      </c>
    </row>
    <row r="27" customFormat="false" ht="15" hidden="false" customHeight="true" outlineLevel="0" collapsed="false">
      <c r="A27" s="3" t="s">
        <v>136</v>
      </c>
    </row>
  </sheetData>
  <conditionalFormatting sqref="C7:G14">
    <cfRule type="expression" priority="2" aboveAverage="0" equalAverage="0" bottom="0" percent="0" rank="0" text="" dxfId="0">
      <formula>AND(ISNUMBER(C7),C7&lt;=Inputs!$B$11)</formula>
    </cfRule>
    <cfRule type="expression" priority="3" aboveAverage="0" equalAverage="0" bottom="0" percent="0" rank="0" text="" dxfId="1">
      <formula>AND(ISNUMBER(C7),C7&gt;Inputs!$B$11)</formula>
    </cfRule>
  </conditionalFormatting>
  <conditionalFormatting sqref="B18:G25">
    <cfRule type="expression" priority="4" aboveAverage="0" equalAverage="0" bottom="0" percent="0" rank="0" text="" dxfId="2">
      <formula>B18&lt;Inputs!$B$13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137</v>
      </c>
    </row>
    <row r="4" customFormat="false" ht="48" hidden="false" customHeight="true" outlineLevel="0" collapsed="false">
      <c r="A4" s="4" t="s">
        <v>138</v>
      </c>
      <c r="B4" s="5" t="str">
        <f aca="false">"Finding: "&amp;IF(Model!$B$5="All emirates","across all emirates","in "&amp;Model!$B$5)&amp;", "&amp;Model!$B$6&amp;" ("&amp;Inputs!$B$17&amp;")"&amp;" delivered "&amp;TEXT(Model!$B$15,"0.0%")&amp;" of shipments on time, against "&amp;TEXT(Model!$B$22,"0.0%")&amp;" for "&amp;Model!$B$7&amp;" ("&amp;Inputs!$B$18&amp;")"&amp;" and a route average of "&amp;TEXT(Model!$B$30,"0.0%")&amp;" (company average "&amp;TEXT(Model!$B$33,"0.0%")&amp;")."</f>
        <v>Finding: in Ras Al Khaimah, C03 (CityHop Riders) delivered 69.3% of shipments on time, against 87.8% for C02 (DesertLink Express) and a route average of 82.0% (company average 85.4%).</v>
      </c>
    </row>
    <row r="5" customFormat="false" ht="48" hidden="false" customHeight="true" outlineLevel="0" collapsed="false">
      <c r="A5" s="4" t="s">
        <v>139</v>
      </c>
      <c r="B5" s="5" t="str">
        <f aca="false">"Why it matters: moving "&amp;TEXT(Model!$B$8,"0%")&amp;" of this volume ("&amp;TEXT(Model!$B$36,"#,##0")&amp;" shipments a year) is estimated to add "&amp;TEXT(Model!$B$39,"#,##0")&amp;" on-time deliveries a year and lift route on-time from "&amp;TEXT(Model!$B$30,"0.0%")&amp;" to "&amp;TEXT(Model!$B$40,"0.0%")&amp;", "&amp;IF(Model!$B$45&gt;=0,"costing an extra AED ","saving AED ")&amp;TEXT(ABS(Model!$B$46),"#,##0")&amp;" a month"&amp;IF(ISNUMBER(Model!$B$47),", or AED "&amp;TEXT(Model!$B$47,"#,##0.00")&amp;" per extra on-time delivery.",".")</f>
        <v>Why it matters: moving 100% of this volume (147 shipments a year) is estimated to add 26 on-time deliveries a year and lift route on-time from 82.0% to 87.2%, costing an extra AED 61 a month, or AED 28.14 per extra on-time delivery.</v>
      </c>
    </row>
    <row r="6" customFormat="false" ht="48" hidden="false" customHeight="true" outlineLevel="0" collapsed="false">
      <c r="A6" s="4" t="s">
        <v>140</v>
      </c>
      <c r="B6" s="5" t="str">
        <f aca="false">"Recommendation: "&amp;IF(LEFT(Model!$B$48,7)="Proceed","move "&amp;TEXT(Model!$B$8,"0%")&amp;" of "&amp;Model!$B$6&amp;"'s "&amp;Model!$B$5&amp;" volume to "&amp;Model!$B$7&amp;", starting with a 3-month pilot and a weekly on-time check. "&amp;Model!$B$48&amp;".","do not make this switch. "&amp;Model!$B$48&amp;". Use Route_Screener to test other options.")</f>
        <v>Recommendation: move 100% of C03's Ras Al Khaimah volume to C02, starting with a 3-month pilot and a weekly on-time check. Proceed: cost per extra on-time delivery is within threshold.</v>
      </c>
    </row>
    <row r="7" customFormat="false" ht="48" hidden="false" customHeight="true" outlineLevel="0" collapsed="false">
      <c r="A7" s="4" t="s">
        <v>141</v>
      </c>
      <c r="B7" s="5" t="str">
        <f aca="false">"Limitation: this is a scenario estimate on simulated data. It assumes "&amp;Model!$B$7&amp;" keeps its current on-time rate and price when it takes extra volume, and shows association, not causation. "&amp;IF(Model!$B$25="OK","","Sample warning: at least one rate is based on fewer than "&amp;Inputs!$B$13&amp;" delivered shipments. ")&amp;IF(ISNUMBER(Model!$B$53),"Reaching the "&amp;TEXT(Model!$B$51,"0%")&amp;" target on this route needs "&amp;TEXT(Model!$B$53,"0%")&amp;" of the volume moved.","Target check: "&amp;Model!$B$53&amp;" (maximum "&amp;TEXT(Model!$B$52,"0.0%")&amp;").")</f>
        <v>Limitation: this is a scenario estimate on simulated data. It assumes C02 keeps its current on-time rate and price when it takes extra volume, and shows association, not causation. Target check: Not achievable with this switch alone (maximum 87.2%).</v>
      </c>
    </row>
    <row r="8" customFormat="false" ht="48" hidden="false" customHeight="true" outlineLevel="0" collapsed="false">
      <c r="A8" s="4" t="s">
        <v>142</v>
      </c>
      <c r="B8" s="5" t="str">
        <f aca="false">"Sensitivity: "&amp;Scenarios!$B$27</f>
        <v>Sensitivity: The recommendation changes within ±10% of the alternative partner's price: treat it as marginal.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60"/>
    <col collapsed="false" customWidth="true" hidden="false" outlineLevel="0" max="7" min="4" style="1" width="16"/>
  </cols>
  <sheetData>
    <row r="1" customFormat="false" ht="17.25" hidden="false" customHeight="true" outlineLevel="0" collapsed="false">
      <c r="A1" s="2" t="s">
        <v>143</v>
      </c>
    </row>
    <row r="4" customFormat="false" ht="15" hidden="false" customHeight="true" outlineLevel="0" collapsed="false">
      <c r="A4" s="6" t="s">
        <v>144</v>
      </c>
      <c r="B4" s="6" t="s">
        <v>145</v>
      </c>
      <c r="C4" s="6" t="s">
        <v>146</v>
      </c>
    </row>
    <row r="5" customFormat="false" ht="15" hidden="false" customHeight="true" outlineLevel="0" collapsed="false">
      <c r="A5" s="7" t="s">
        <v>66</v>
      </c>
      <c r="B5" s="18" t="n">
        <f aca="false">SUMIFS(Partner_Data!$D:$D,Partner_Data!$C:$C,"All emirates")</f>
        <v>8802</v>
      </c>
      <c r="C5" s="3" t="s">
        <v>147</v>
      </c>
    </row>
    <row r="6" customFormat="false" ht="15" hidden="false" customHeight="true" outlineLevel="0" collapsed="false">
      <c r="A6" s="7" t="s">
        <v>148</v>
      </c>
      <c r="B6" s="19" t="n">
        <f aca="false">IFERROR(SUMIFS(Partner_Data!$F:$F,Partner_Data!$C:$C,"All emirates")/SUMIFS(Partner_Data!$E:$E,Partner_Data!$C:$C,"All emirates"),0)</f>
        <v>0.853911404335533</v>
      </c>
      <c r="C6" s="3" t="s">
        <v>149</v>
      </c>
    </row>
    <row r="7" customFormat="false" ht="15" hidden="false" customHeight="true" outlineLevel="0" collapsed="false">
      <c r="A7" s="7" t="s">
        <v>150</v>
      </c>
      <c r="B7" s="32" t="n">
        <f aca="false">IFERROR(SUMIFS(Partner_Data!$H:$H,Partner_Data!$C:$C,"All emirates")/SUMIFS(Partner_Data!$G:$G,Partner_Data!$C:$C,"All emirates"),0)</f>
        <v>1.59435483870968</v>
      </c>
      <c r="C7" s="3" t="s">
        <v>151</v>
      </c>
    </row>
    <row r="8" customFormat="false" ht="15" hidden="false" customHeight="true" outlineLevel="0" collapsed="false">
      <c r="A8" s="7" t="s">
        <v>70</v>
      </c>
      <c r="B8" s="20" t="n">
        <f aca="false">IFERROR(SUMIFS(Partner_Data!$L:$L,Partner_Data!$C:$C,"All emirates")/SUMIFS(Partner_Data!$K:$K,Partner_Data!$C:$C,"All emirates"),0)</f>
        <v>27.6721249712842</v>
      </c>
      <c r="C8" s="3" t="s">
        <v>152</v>
      </c>
    </row>
    <row r="9" customFormat="false" ht="15" hidden="false" customHeight="true" outlineLevel="0" collapsed="false">
      <c r="A9" s="7" t="s">
        <v>153</v>
      </c>
      <c r="B9" s="20" t="n">
        <f aca="false">IFERROR(SUMIFS(Partner_Data!$M:$M,Partner_Data!$C:$C,"All emirates")/SUMIFS(Partner_Data!$N:$N,Partner_Data!$C:$C,"All emirates"),0)</f>
        <v>10.7597848611462</v>
      </c>
      <c r="C9" s="3" t="s">
        <v>154</v>
      </c>
    </row>
    <row r="10" customFormat="false" ht="15" hidden="false" customHeight="true" outlineLevel="0" collapsed="false">
      <c r="A10" s="7" t="s">
        <v>155</v>
      </c>
      <c r="B10" s="19" t="n">
        <f aca="false">IFERROR((SUMIFS(Partner_Data!$I:$I,Partner_Data!$C:$C,"All emirates")+SUMIFS(Partner_Data!$J:$J,Partner_Data!$C:$C,"All emirates"))/SUMIFS(Partner_Data!$D:$D,Partner_Data!$C:$C,"All emirates"),0)</f>
        <v>0.0340831629175188</v>
      </c>
      <c r="C10" s="3" t="s">
        <v>156</v>
      </c>
    </row>
    <row r="13" customFormat="false" ht="39" hidden="false" customHeight="true" outlineLevel="0" collapsed="false">
      <c r="A13" s="6" t="s">
        <v>157</v>
      </c>
      <c r="B13" s="6" t="s">
        <v>158</v>
      </c>
      <c r="C13" s="6" t="s">
        <v>66</v>
      </c>
      <c r="D13" s="6" t="s">
        <v>69</v>
      </c>
      <c r="E13" s="6" t="s">
        <v>159</v>
      </c>
      <c r="F13" s="6" t="s">
        <v>160</v>
      </c>
      <c r="G13" s="6" t="s">
        <v>155</v>
      </c>
    </row>
    <row r="14" customFormat="false" ht="15" hidden="false" customHeight="true" outlineLevel="0" collapsed="false">
      <c r="A14" s="7" t="s">
        <v>119</v>
      </c>
      <c r="B14" s="21" t="str">
        <f aca="false">INDEX(Lists!$C$4:$C$8,MATCH($A14,Lists!$B$4:$B$8,0))</f>
        <v>Falcon Fleet</v>
      </c>
      <c r="C14" s="18" t="n">
        <f aca="false">SUMIFS(Partner_Data!$D:$D,Partner_Data!$A:$A,$A14,Partner_Data!$C:$C,"All emirates")</f>
        <v>2223</v>
      </c>
      <c r="D14" s="19" t="n">
        <f aca="false">IFERROR(SUMIFS(Partner_Data!$F:$F,Partner_Data!$A:$A,$A14,Partner_Data!$C:$C,"All emirates")/SUMIFS(Partner_Data!$E:$E,Partner_Data!$A:$A,$A14,Partner_Data!$C:$C,"All emirates"),0)</f>
        <v>0.894372693726937</v>
      </c>
      <c r="E14" s="32" t="n">
        <f aca="false">IFERROR(SUMIFS(Partner_Data!$H:$H,Partner_Data!$A:$A,$A14,Partner_Data!$C:$C,"All emirates")/SUMIFS(Partner_Data!$G:$G,Partner_Data!$A:$A,$A14,Partner_Data!$C:$C,"All emirates"),0)</f>
        <v>1.61572052401747</v>
      </c>
      <c r="F14" s="20" t="n">
        <f aca="false">IFERROR(SUMIFS(Partner_Data!$L:$L,Partner_Data!$A:$A,$A14,Partner_Data!$C:$C,"All emirates")/SUMIFS(Partner_Data!$K:$K,Partner_Data!$A:$A,$A14,Partner_Data!$C:$C,"All emirates"),0)</f>
        <v>32.5372909090909</v>
      </c>
      <c r="G14" s="19" t="n">
        <f aca="false">IFERROR((SUMIFS(Partner_Data!$I:$I,Partner_Data!$A:$A,$A14,Partner_Data!$C:$C,"All emirates")+SUMIFS(Partner_Data!$J:$J,Partner_Data!$A:$A,$A14,Partner_Data!$C:$C,"All emirates"))/SUMIFS(Partner_Data!$D:$D,Partner_Data!$A:$A,$A14,Partner_Data!$C:$C,"All emirates"),0)</f>
        <v>0.0242914979757085</v>
      </c>
    </row>
    <row r="15" customFormat="false" ht="15" hidden="false" customHeight="true" outlineLevel="0" collapsed="false">
      <c r="A15" s="7" t="s">
        <v>38</v>
      </c>
      <c r="B15" s="21" t="str">
        <f aca="false">INDEX(Lists!$C$4:$C$8,MATCH($A15,Lists!$B$4:$B$8,0))</f>
        <v>DesertLink Express</v>
      </c>
      <c r="C15" s="18" t="n">
        <f aca="false">SUMIFS(Partner_Data!$D:$D,Partner_Data!$A:$A,$A15,Partner_Data!$C:$C,"All emirates")</f>
        <v>1903</v>
      </c>
      <c r="D15" s="19" t="n">
        <f aca="false">IFERROR(SUMIFS(Partner_Data!$F:$F,Partner_Data!$A:$A,$A15,Partner_Data!$C:$C,"All emirates")/SUMIFS(Partner_Data!$E:$E,Partner_Data!$A:$A,$A15,Partner_Data!$C:$C,"All emirates"),0)</f>
        <v>0.869447453954496</v>
      </c>
      <c r="E15" s="32" t="n">
        <f aca="false">IFERROR(SUMIFS(Partner_Data!$H:$H,Partner_Data!$A:$A,$A15,Partner_Data!$C:$C,"All emirates")/SUMIFS(Partner_Data!$G:$G,Partner_Data!$A:$A,$A15,Partner_Data!$C:$C,"All emirates"),0)</f>
        <v>1.54771784232365</v>
      </c>
      <c r="F15" s="20" t="n">
        <f aca="false">IFERROR(SUMIFS(Partner_Data!$L:$L,Partner_Data!$A:$A,$A15,Partner_Data!$C:$C,"All emirates")/SUMIFS(Partner_Data!$K:$K,Partner_Data!$A:$A,$A15,Partner_Data!$C:$C,"All emirates"),0)</f>
        <v>27.7454197662062</v>
      </c>
      <c r="G15" s="19" t="n">
        <f aca="false">IFERROR((SUMIFS(Partner_Data!$I:$I,Partner_Data!$A:$A,$A15,Partner_Data!$C:$C,"All emirates")+SUMIFS(Partner_Data!$J:$J,Partner_Data!$A:$A,$A15,Partner_Data!$C:$C,"All emirates"))/SUMIFS(Partner_Data!$D:$D,Partner_Data!$A:$A,$A15,Partner_Data!$C:$C,"All emirates"),0)</f>
        <v>0.0273252758801892</v>
      </c>
    </row>
    <row r="16" customFormat="false" ht="15" hidden="false" customHeight="true" outlineLevel="0" collapsed="false">
      <c r="A16" s="7" t="s">
        <v>35</v>
      </c>
      <c r="B16" s="21" t="str">
        <f aca="false">INDEX(Lists!$C$4:$C$8,MATCH($A16,Lists!$B$4:$B$8,0))</f>
        <v>CityHop Riders</v>
      </c>
      <c r="C16" s="18" t="n">
        <f aca="false">SUMIFS(Partner_Data!$D:$D,Partner_Data!$A:$A,$A16,Partner_Data!$C:$C,"All emirates")</f>
        <v>1996</v>
      </c>
      <c r="D16" s="19" t="n">
        <f aca="false">IFERROR(SUMIFS(Partner_Data!$F:$F,Partner_Data!$A:$A,$A16,Partner_Data!$C:$C,"All emirates")/SUMIFS(Partner_Data!$E:$E,Partner_Data!$A:$A,$A16,Partner_Data!$C:$C,"All emirates"),0)</f>
        <v>0.784681306909481</v>
      </c>
      <c r="E16" s="32" t="n">
        <f aca="false">IFERROR(SUMIFS(Partner_Data!$H:$H,Partner_Data!$A:$A,$A16,Partner_Data!$C:$C,"All emirates")/SUMIFS(Partner_Data!$G:$G,Partner_Data!$A:$A,$A16,Partner_Data!$C:$C,"All emirates"),0)</f>
        <v>1.54726368159204</v>
      </c>
      <c r="F16" s="20" t="n">
        <f aca="false">IFERROR(SUMIFS(Partner_Data!$L:$L,Partner_Data!$A:$A,$A16,Partner_Data!$C:$C,"All emirates")/SUMIFS(Partner_Data!$K:$K,Partner_Data!$A:$A,$A16,Partner_Data!$C:$C,"All emirates"),0)</f>
        <v>22.2084024266936</v>
      </c>
      <c r="G16" s="19" t="n">
        <f aca="false">IFERROR((SUMIFS(Partner_Data!$I:$I,Partner_Data!$A:$A,$A16,Partner_Data!$C:$C,"All emirates")+SUMIFS(Partner_Data!$J:$J,Partner_Data!$A:$A,$A16,Partner_Data!$C:$C,"All emirates"))/SUMIFS(Partner_Data!$D:$D,Partner_Data!$A:$A,$A16,Partner_Data!$C:$C,"All emirates"),0)</f>
        <v>0.063627254509018</v>
      </c>
    </row>
    <row r="17" customFormat="false" ht="15" hidden="false" customHeight="true" outlineLevel="0" collapsed="false">
      <c r="A17" s="7" t="s">
        <v>120</v>
      </c>
      <c r="B17" s="21" t="str">
        <f aca="false">INDEX(Lists!$C$4:$C$8,MATCH($A17,Lists!$B$4:$B$8,0))</f>
        <v>Gulf Route Logistics</v>
      </c>
      <c r="C17" s="18" t="n">
        <f aca="false">SUMIFS(Partner_Data!$D:$D,Partner_Data!$A:$A,$A17,Partner_Data!$C:$C,"All emirates")</f>
        <v>1351</v>
      </c>
      <c r="D17" s="19" t="n">
        <f aca="false">IFERROR(SUMIFS(Partner_Data!$F:$F,Partner_Data!$A:$A,$A17,Partner_Data!$C:$C,"All emirates")/SUMIFS(Partner_Data!$E:$E,Partner_Data!$A:$A,$A17,Partner_Data!$C:$C,"All emirates"),0)</f>
        <v>0.841704718417047</v>
      </c>
      <c r="E17" s="32" t="n">
        <f aca="false">IFERROR(SUMIFS(Partner_Data!$H:$H,Partner_Data!$A:$A,$A17,Partner_Data!$C:$C,"All emirates")/SUMIFS(Partner_Data!$G:$G,Partner_Data!$A:$A,$A17,Partner_Data!$C:$C,"All emirates"),0)</f>
        <v>1.62019230769231</v>
      </c>
      <c r="F17" s="20" t="n">
        <f aca="false">IFERROR(SUMIFS(Partner_Data!$L:$L,Partner_Data!$A:$A,$A17,Partner_Data!$C:$C,"All emirates")/SUMIFS(Partner_Data!$K:$K,Partner_Data!$A:$A,$A17,Partner_Data!$C:$C,"All emirates"),0)</f>
        <v>25.8822921348315</v>
      </c>
      <c r="G17" s="19" t="n">
        <f aca="false">IFERROR((SUMIFS(Partner_Data!$I:$I,Partner_Data!$A:$A,$A17,Partner_Data!$C:$C,"All emirates")+SUMIFS(Partner_Data!$J:$J,Partner_Data!$A:$A,$A17,Partner_Data!$C:$C,"All emirates"))/SUMIFS(Partner_Data!$D:$D,Partner_Data!$A:$A,$A17,Partner_Data!$C:$C,"All emirates"),0)</f>
        <v>0.0251665433012583</v>
      </c>
    </row>
    <row r="18" customFormat="false" ht="15" hidden="false" customHeight="true" outlineLevel="0" collapsed="false">
      <c r="A18" s="7" t="s">
        <v>121</v>
      </c>
      <c r="B18" s="21" t="str">
        <f aca="false">INDEX(Lists!$C$4:$C$8,MATCH($A18,Lists!$B$4:$B$8,0))</f>
        <v>Oasis Couriers</v>
      </c>
      <c r="C18" s="18" t="n">
        <f aca="false">SUMIFS(Partner_Data!$D:$D,Partner_Data!$A:$A,$A18,Partner_Data!$C:$C,"All emirates")</f>
        <v>1329</v>
      </c>
      <c r="D18" s="19" t="n">
        <f aca="false">IFERROR(SUMIFS(Partner_Data!$F:$F,Partner_Data!$A:$A,$A18,Partner_Data!$C:$C,"All emirates")/SUMIFS(Partner_Data!$E:$E,Partner_Data!$A:$A,$A18,Partner_Data!$C:$C,"All emirates"),0)</f>
        <v>0.876256767208043</v>
      </c>
      <c r="E18" s="32" t="n">
        <f aca="false">IFERROR(SUMIFS(Partner_Data!$H:$H,Partner_Data!$A:$A,$A18,Partner_Data!$C:$C,"All emirates")/SUMIFS(Partner_Data!$G:$G,Partner_Data!$A:$A,$A18,Partner_Data!$C:$C,"All emirates"),0)</f>
        <v>1.71875</v>
      </c>
      <c r="F18" s="20" t="n">
        <f aca="false">IFERROR(SUMIFS(Partner_Data!$L:$L,Partner_Data!$A:$A,$A18,Partner_Data!$C:$C,"All emirates")/SUMIFS(Partner_Data!$K:$K,Partner_Data!$A:$A,$A18,Partner_Data!$C:$C,"All emirates"),0)</f>
        <v>29.4687414187643</v>
      </c>
      <c r="G18" s="19" t="n">
        <f aca="false">IFERROR((SUMIFS(Partner_Data!$I:$I,Partner_Data!$A:$A,$A18,Partner_Data!$C:$C,"All emirates")+SUMIFS(Partner_Data!$J:$J,Partner_Data!$A:$A,$A18,Partner_Data!$C:$C,"All emirates"))/SUMIFS(Partner_Data!$D:$D,Partner_Data!$A:$A,$A18,Partner_Data!$C:$C,"All emirates"),0)</f>
        <v>0.0248306997742664</v>
      </c>
    </row>
    <row r="21" customFormat="false" ht="39" hidden="false" customHeight="true" outlineLevel="0" collapsed="false">
      <c r="A21" s="6" t="s">
        <v>161</v>
      </c>
      <c r="B21" s="6" t="s">
        <v>66</v>
      </c>
      <c r="C21" s="6" t="s">
        <v>69</v>
      </c>
      <c r="D21" s="6" t="s">
        <v>160</v>
      </c>
    </row>
    <row r="22" customFormat="false" ht="15" hidden="false" customHeight="true" outlineLevel="0" collapsed="false">
      <c r="A22" s="7" t="s">
        <v>122</v>
      </c>
      <c r="B22" s="18" t="n">
        <f aca="false">SUMIFS(Partner_Data!$D:$D,Partner_Data!$C:$C,$A22)</f>
        <v>2077</v>
      </c>
      <c r="C22" s="19" t="n">
        <f aca="false">IFERROR(SUMIFS(Partner_Data!$F:$F,Partner_Data!$C:$C,$A22)/SUMIFS(Partner_Data!$E:$E,Partner_Data!$C:$C,$A22),0)</f>
        <v>0.860199004975124</v>
      </c>
      <c r="D22" s="20" t="n">
        <f aca="false">IFERROR(SUMIFS(Partner_Data!$L:$L,Partner_Data!$C:$C,$A22)/SUMIFS(Partner_Data!$K:$K,Partner_Data!$C:$C,$A22),0)</f>
        <v>28.6346559297218</v>
      </c>
    </row>
    <row r="23" customFormat="false" ht="15" hidden="false" customHeight="true" outlineLevel="0" collapsed="false">
      <c r="A23" s="7" t="s">
        <v>123</v>
      </c>
      <c r="B23" s="18" t="n">
        <f aca="false">SUMIFS(Partner_Data!$D:$D,Partner_Data!$C:$C,$A23)</f>
        <v>603</v>
      </c>
      <c r="C23" s="19" t="n">
        <f aca="false">IFERROR(SUMIFS(Partner_Data!$F:$F,Partner_Data!$C:$C,$A23)/SUMIFS(Partner_Data!$E:$E,Partner_Data!$C:$C,$A23),0)</f>
        <v>0.851027397260274</v>
      </c>
      <c r="D23" s="20" t="n">
        <f aca="false">IFERROR(SUMIFS(Partner_Data!$L:$L,Partner_Data!$C:$C,$A23)/SUMIFS(Partner_Data!$K:$K,Partner_Data!$C:$C,$A23),0)</f>
        <v>26.6943906510851</v>
      </c>
    </row>
    <row r="24" customFormat="false" ht="15" hidden="false" customHeight="true" outlineLevel="0" collapsed="false">
      <c r="A24" s="7" t="s">
        <v>124</v>
      </c>
      <c r="B24" s="18" t="n">
        <f aca="false">SUMIFS(Partner_Data!$D:$D,Partner_Data!$C:$C,$A24)</f>
        <v>3414</v>
      </c>
      <c r="C24" s="19" t="n">
        <f aca="false">IFERROR(SUMIFS(Partner_Data!$F:$F,Partner_Data!$C:$C,$A24)/SUMIFS(Partner_Data!$E:$E,Partner_Data!$C:$C,$A24),0)</f>
        <v>0.86269744835966</v>
      </c>
      <c r="D24" s="20" t="n">
        <f aca="false">IFERROR(SUMIFS(Partner_Data!$L:$L,Partner_Data!$C:$C,$A24)/SUMIFS(Partner_Data!$K:$K,Partner_Data!$C:$C,$A24),0)</f>
        <v>27.3791790160047</v>
      </c>
    </row>
    <row r="25" customFormat="false" ht="15" hidden="false" customHeight="true" outlineLevel="0" collapsed="false">
      <c r="A25" s="7" t="s">
        <v>125</v>
      </c>
      <c r="B25" s="18" t="n">
        <f aca="false">SUMIFS(Partner_Data!$D:$D,Partner_Data!$C:$C,$A25)</f>
        <v>330</v>
      </c>
      <c r="C25" s="19" t="n">
        <f aca="false">IFERROR(SUMIFS(Partner_Data!$F:$F,Partner_Data!$C:$C,$A25)/SUMIFS(Partner_Data!$E:$E,Partner_Data!$C:$C,$A25),0)</f>
        <v>0.825396825396825</v>
      </c>
      <c r="D25" s="20" t="n">
        <f aca="false">IFERROR(SUMIFS(Partner_Data!$L:$L,Partner_Data!$C:$C,$A25)/SUMIFS(Partner_Data!$K:$K,Partner_Data!$C:$C,$A25),0)</f>
        <v>28.4866768292683</v>
      </c>
    </row>
    <row r="26" customFormat="false" ht="15" hidden="false" customHeight="true" outlineLevel="0" collapsed="false">
      <c r="A26" s="7" t="s">
        <v>32</v>
      </c>
      <c r="B26" s="18" t="n">
        <f aca="false">SUMIFS(Partner_Data!$D:$D,Partner_Data!$C:$C,$A26)</f>
        <v>518</v>
      </c>
      <c r="C26" s="19" t="n">
        <f aca="false">IFERROR(SUMIFS(Partner_Data!$F:$F,Partner_Data!$C:$C,$A26)/SUMIFS(Partner_Data!$E:$E,Partner_Data!$C:$C,$A26),0)</f>
        <v>0.82</v>
      </c>
      <c r="D26" s="20" t="n">
        <f aca="false">IFERROR(SUMIFS(Partner_Data!$L:$L,Partner_Data!$C:$C,$A26)/SUMIFS(Partner_Data!$K:$K,Partner_Data!$C:$C,$A26),0)</f>
        <v>29.0723255813953</v>
      </c>
    </row>
    <row r="27" customFormat="false" ht="15" hidden="false" customHeight="true" outlineLevel="0" collapsed="false">
      <c r="A27" s="7" t="s">
        <v>126</v>
      </c>
      <c r="B27" s="18" t="n">
        <f aca="false">SUMIFS(Partner_Data!$D:$D,Partner_Data!$C:$C,$A27)</f>
        <v>1606</v>
      </c>
      <c r="C27" s="19" t="n">
        <f aca="false">IFERROR(SUMIFS(Partner_Data!$F:$F,Partner_Data!$C:$C,$A27)/SUMIFS(Partner_Data!$E:$E,Partner_Data!$C:$C,$A27),0)</f>
        <v>0.843060959792477</v>
      </c>
      <c r="D27" s="20" t="n">
        <f aca="false">IFERROR(SUMIFS(Partner_Data!$L:$L,Partner_Data!$C:$C,$A27)/SUMIFS(Partner_Data!$K:$K,Partner_Data!$C:$C,$A27),0)</f>
        <v>26.7202079395085</v>
      </c>
    </row>
    <row r="28" customFormat="false" ht="15" hidden="false" customHeight="true" outlineLevel="0" collapsed="false">
      <c r="A28" s="7" t="s">
        <v>127</v>
      </c>
      <c r="B28" s="18" t="n">
        <f aca="false">SUMIFS(Partner_Data!$D:$D,Partner_Data!$C:$C,$A28)</f>
        <v>254</v>
      </c>
      <c r="C28" s="19" t="n">
        <f aca="false">IFERROR(SUMIFS(Partner_Data!$F:$F,Partner_Data!$C:$C,$A28)/SUMIFS(Partner_Data!$E:$E,Partner_Data!$C:$C,$A28),0)</f>
        <v>0.86530612244898</v>
      </c>
      <c r="D28" s="20" t="n">
        <f aca="false">IFERROR(SUMIFS(Partner_Data!$L:$L,Partner_Data!$C:$C,$A28)/SUMIFS(Partner_Data!$K:$K,Partner_Data!$C:$C,$A28),0)</f>
        <v>28.1577075098814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162</v>
      </c>
    </row>
    <row r="2" customFormat="false" ht="15" hidden="false" customHeight="true" outlineLevel="0" collapsed="false">
      <c r="A2" s="3" t="s">
        <v>163</v>
      </c>
      <c r="B2" s="1" t="s">
        <v>164</v>
      </c>
    </row>
    <row r="4" customFormat="false" ht="26.25" hidden="false" customHeight="true" outlineLevel="0" collapsed="false">
      <c r="A4" s="6" t="s">
        <v>55</v>
      </c>
      <c r="B4" s="6" t="s">
        <v>165</v>
      </c>
      <c r="C4" s="6" t="s">
        <v>166</v>
      </c>
      <c r="D4" s="6" t="s">
        <v>167</v>
      </c>
    </row>
    <row r="5" customFormat="false" ht="15" hidden="false" customHeight="true" outlineLevel="0" collapsed="false">
      <c r="A5" s="33" t="s">
        <v>168</v>
      </c>
      <c r="B5" s="34" t="n">
        <v>8920</v>
      </c>
      <c r="C5" s="33" t="s">
        <v>169</v>
      </c>
      <c r="D5" s="33" t="s">
        <v>170</v>
      </c>
    </row>
    <row r="6" customFormat="false" ht="26.25" hidden="false" customHeight="true" outlineLevel="0" collapsed="false">
      <c r="A6" s="35" t="s">
        <v>171</v>
      </c>
      <c r="B6" s="36" t="n">
        <v>118</v>
      </c>
      <c r="C6" s="35" t="s">
        <v>172</v>
      </c>
      <c r="D6" s="35" t="s">
        <v>173</v>
      </c>
    </row>
    <row r="7" customFormat="false" ht="26.25" hidden="false" customHeight="true" outlineLevel="0" collapsed="false">
      <c r="A7" s="35" t="s">
        <v>174</v>
      </c>
      <c r="B7" s="36" t="n">
        <v>572</v>
      </c>
      <c r="C7" s="35" t="s">
        <v>175</v>
      </c>
      <c r="D7" s="35" t="s">
        <v>176</v>
      </c>
    </row>
    <row r="8" customFormat="false" ht="26.25" hidden="false" customHeight="true" outlineLevel="0" collapsed="false">
      <c r="A8" s="35" t="s">
        <v>177</v>
      </c>
      <c r="B8" s="36" t="n">
        <v>184</v>
      </c>
      <c r="C8" s="35" t="s">
        <v>178</v>
      </c>
      <c r="D8" s="35" t="s">
        <v>179</v>
      </c>
    </row>
    <row r="9" customFormat="false" ht="26.25" hidden="false" customHeight="true" outlineLevel="0" collapsed="false">
      <c r="A9" s="35" t="s">
        <v>180</v>
      </c>
      <c r="B9" s="36" t="n">
        <v>96</v>
      </c>
      <c r="C9" s="35" t="s">
        <v>181</v>
      </c>
      <c r="D9" s="35" t="s">
        <v>182</v>
      </c>
    </row>
    <row r="10" customFormat="false" ht="26.25" hidden="false" customHeight="true" outlineLevel="0" collapsed="false">
      <c r="A10" s="35" t="s">
        <v>183</v>
      </c>
      <c r="B10" s="36" t="n">
        <v>14</v>
      </c>
      <c r="C10" s="35" t="s">
        <v>184</v>
      </c>
      <c r="D10" s="35" t="s">
        <v>185</v>
      </c>
    </row>
    <row r="11" customFormat="false" ht="26.25" hidden="false" customHeight="true" outlineLevel="0" collapsed="false">
      <c r="A11" s="35" t="s">
        <v>186</v>
      </c>
      <c r="B11" s="36" t="n">
        <v>300</v>
      </c>
      <c r="C11" s="35" t="s">
        <v>187</v>
      </c>
      <c r="D11" s="35" t="s">
        <v>188</v>
      </c>
    </row>
    <row r="12" customFormat="false" ht="15" hidden="false" customHeight="true" outlineLevel="0" collapsed="false">
      <c r="A12" s="33" t="s">
        <v>189</v>
      </c>
      <c r="B12" s="34" t="n">
        <v>8802</v>
      </c>
      <c r="C12" s="33" t="s">
        <v>169</v>
      </c>
      <c r="D12" s="33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5" min="4" style="1" width="11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8"/>
    <col collapsed="false" customWidth="true" hidden="false" outlineLevel="0" max="11" min="11" style="1" width="10"/>
    <col collapsed="false" customWidth="true" hidden="false" outlineLevel="0" max="14" min="12" style="1" width="12"/>
  </cols>
  <sheetData>
    <row r="1" customFormat="false" ht="17.25" hidden="false" customHeight="true" outlineLevel="0" collapsed="false">
      <c r="A1" s="2" t="s">
        <v>191</v>
      </c>
    </row>
    <row r="2" customFormat="false" ht="15" hidden="false" customHeight="true" outlineLevel="0" collapsed="false">
      <c r="A2" s="3" t="s">
        <v>192</v>
      </c>
    </row>
    <row r="4" customFormat="false" ht="26.25" hidden="false" customHeight="true" outlineLevel="0" collapsed="false">
      <c r="A4" s="6" t="s">
        <v>193</v>
      </c>
      <c r="B4" s="6" t="s">
        <v>194</v>
      </c>
      <c r="C4" s="6" t="s">
        <v>195</v>
      </c>
      <c r="D4" s="6" t="s">
        <v>196</v>
      </c>
      <c r="E4" s="6" t="s">
        <v>197</v>
      </c>
      <c r="F4" s="6" t="s">
        <v>198</v>
      </c>
      <c r="G4" s="6" t="s">
        <v>199</v>
      </c>
      <c r="H4" s="6" t="s">
        <v>200</v>
      </c>
      <c r="I4" s="6" t="s">
        <v>201</v>
      </c>
      <c r="J4" s="6" t="s">
        <v>202</v>
      </c>
      <c r="K4" s="6" t="s">
        <v>203</v>
      </c>
      <c r="L4" s="6" t="s">
        <v>204</v>
      </c>
      <c r="M4" s="6" t="s">
        <v>205</v>
      </c>
      <c r="N4" s="6" t="s">
        <v>206</v>
      </c>
    </row>
    <row r="5" customFormat="false" ht="15" hidden="false" customHeight="true" outlineLevel="0" collapsed="false">
      <c r="A5" s="21" t="s">
        <v>119</v>
      </c>
      <c r="B5" s="21" t="s">
        <v>207</v>
      </c>
      <c r="C5" s="21" t="s">
        <v>122</v>
      </c>
      <c r="D5" s="37" t="n">
        <v>638</v>
      </c>
      <c r="E5" s="37" t="n">
        <v>625</v>
      </c>
      <c r="F5" s="37" t="n">
        <v>559</v>
      </c>
      <c r="G5" s="37" t="n">
        <v>66</v>
      </c>
      <c r="H5" s="37" t="n">
        <v>113</v>
      </c>
      <c r="I5" s="37" t="n">
        <v>12</v>
      </c>
      <c r="J5" s="37" t="n">
        <v>0</v>
      </c>
      <c r="K5" s="37" t="n">
        <v>629</v>
      </c>
      <c r="L5" s="38" t="n">
        <v>20731.72</v>
      </c>
      <c r="M5" s="38" t="n">
        <v>20465.32</v>
      </c>
      <c r="N5" s="38" t="n">
        <v>1608.99</v>
      </c>
    </row>
    <row r="6" customFormat="false" ht="15" hidden="false" customHeight="true" outlineLevel="0" collapsed="false">
      <c r="A6" s="21" t="s">
        <v>119</v>
      </c>
      <c r="B6" s="21" t="s">
        <v>207</v>
      </c>
      <c r="C6" s="21" t="s">
        <v>123</v>
      </c>
      <c r="D6" s="37" t="n">
        <v>106</v>
      </c>
      <c r="E6" s="37" t="n">
        <v>104</v>
      </c>
      <c r="F6" s="37" t="n">
        <v>96</v>
      </c>
      <c r="G6" s="37" t="n">
        <v>8</v>
      </c>
      <c r="H6" s="37" t="n">
        <v>11</v>
      </c>
      <c r="I6" s="37" t="n">
        <v>1</v>
      </c>
      <c r="J6" s="37" t="n">
        <v>1</v>
      </c>
      <c r="K6" s="37" t="n">
        <v>105</v>
      </c>
      <c r="L6" s="38" t="n">
        <v>3331.37</v>
      </c>
      <c r="M6" s="38" t="n">
        <v>3196.24</v>
      </c>
      <c r="N6" s="38" t="n">
        <v>239.53</v>
      </c>
    </row>
    <row r="7" customFormat="false" ht="15" hidden="false" customHeight="true" outlineLevel="0" collapsed="false">
      <c r="A7" s="21" t="s">
        <v>119</v>
      </c>
      <c r="B7" s="21" t="s">
        <v>207</v>
      </c>
      <c r="C7" s="21" t="s">
        <v>124</v>
      </c>
      <c r="D7" s="37" t="n">
        <v>990</v>
      </c>
      <c r="E7" s="37" t="n">
        <v>968</v>
      </c>
      <c r="F7" s="37" t="n">
        <v>865</v>
      </c>
      <c r="G7" s="37" t="n">
        <v>103</v>
      </c>
      <c r="H7" s="37" t="n">
        <v>163</v>
      </c>
      <c r="I7" s="37" t="n">
        <v>18</v>
      </c>
      <c r="J7" s="37" t="n">
        <v>4</v>
      </c>
      <c r="K7" s="37" t="n">
        <v>981</v>
      </c>
      <c r="L7" s="38" t="n">
        <v>31144.23</v>
      </c>
      <c r="M7" s="38" t="n">
        <v>30375.9</v>
      </c>
      <c r="N7" s="38" t="n">
        <v>2494.92</v>
      </c>
    </row>
    <row r="8" customFormat="false" ht="15" hidden="false" customHeight="true" outlineLevel="0" collapsed="false">
      <c r="A8" s="21" t="s">
        <v>119</v>
      </c>
      <c r="B8" s="21" t="s">
        <v>207</v>
      </c>
      <c r="C8" s="21" t="s">
        <v>125</v>
      </c>
      <c r="D8" s="37" t="n">
        <v>58</v>
      </c>
      <c r="E8" s="37" t="n">
        <v>56</v>
      </c>
      <c r="F8" s="37" t="n">
        <v>49</v>
      </c>
      <c r="G8" s="37" t="n">
        <v>7</v>
      </c>
      <c r="H8" s="37" t="n">
        <v>13</v>
      </c>
      <c r="I8" s="37" t="n">
        <v>2</v>
      </c>
      <c r="J8" s="37" t="n">
        <v>0</v>
      </c>
      <c r="K8" s="37" t="n">
        <v>58</v>
      </c>
      <c r="L8" s="38" t="n">
        <v>2087.2</v>
      </c>
      <c r="M8" s="38" t="n">
        <v>2026.43</v>
      </c>
      <c r="N8" s="38" t="n">
        <v>172.01</v>
      </c>
    </row>
    <row r="9" customFormat="false" ht="15" hidden="false" customHeight="true" outlineLevel="0" collapsed="false">
      <c r="A9" s="21" t="s">
        <v>119</v>
      </c>
      <c r="B9" s="21" t="s">
        <v>207</v>
      </c>
      <c r="C9" s="21" t="s">
        <v>32</v>
      </c>
      <c r="D9" s="37" t="n">
        <v>93</v>
      </c>
      <c r="E9" s="37" t="n">
        <v>87</v>
      </c>
      <c r="F9" s="37" t="n">
        <v>79</v>
      </c>
      <c r="G9" s="37" t="n">
        <v>8</v>
      </c>
      <c r="H9" s="37" t="n">
        <v>12</v>
      </c>
      <c r="I9" s="37" t="n">
        <v>6</v>
      </c>
      <c r="J9" s="37" t="n">
        <v>0</v>
      </c>
      <c r="K9" s="37" t="n">
        <v>93</v>
      </c>
      <c r="L9" s="38" t="n">
        <v>3289.39</v>
      </c>
      <c r="M9" s="38" t="n">
        <v>3226.37</v>
      </c>
      <c r="N9" s="38" t="n">
        <v>268.46</v>
      </c>
    </row>
    <row r="10" customFormat="false" ht="15" hidden="false" customHeight="true" outlineLevel="0" collapsed="false">
      <c r="A10" s="21" t="s">
        <v>119</v>
      </c>
      <c r="B10" s="21" t="s">
        <v>207</v>
      </c>
      <c r="C10" s="21" t="s">
        <v>126</v>
      </c>
      <c r="D10" s="37" t="n">
        <v>290</v>
      </c>
      <c r="E10" s="37" t="n">
        <v>281</v>
      </c>
      <c r="F10" s="37" t="n">
        <v>249</v>
      </c>
      <c r="G10" s="37" t="n">
        <v>32</v>
      </c>
      <c r="H10" s="37" t="n">
        <v>53</v>
      </c>
      <c r="I10" s="37" t="n">
        <v>8</v>
      </c>
      <c r="J10" s="37" t="n">
        <v>1</v>
      </c>
      <c r="K10" s="37" t="n">
        <v>286</v>
      </c>
      <c r="L10" s="38" t="n">
        <v>9348.2</v>
      </c>
      <c r="M10" s="38" t="n">
        <v>9140.16</v>
      </c>
      <c r="N10" s="38" t="n">
        <v>835.76</v>
      </c>
    </row>
    <row r="11" customFormat="false" ht="15" hidden="false" customHeight="true" outlineLevel="0" collapsed="false">
      <c r="A11" s="21" t="s">
        <v>119</v>
      </c>
      <c r="B11" s="21" t="s">
        <v>207</v>
      </c>
      <c r="C11" s="21" t="s">
        <v>127</v>
      </c>
      <c r="D11" s="37" t="n">
        <v>48</v>
      </c>
      <c r="E11" s="37" t="n">
        <v>47</v>
      </c>
      <c r="F11" s="37" t="n">
        <v>42</v>
      </c>
      <c r="G11" s="37" t="n">
        <v>5</v>
      </c>
      <c r="H11" s="37" t="n">
        <v>5</v>
      </c>
      <c r="I11" s="37" t="n">
        <v>1</v>
      </c>
      <c r="J11" s="37" t="n">
        <v>0</v>
      </c>
      <c r="K11" s="37" t="n">
        <v>48</v>
      </c>
      <c r="L11" s="38" t="n">
        <v>1649.93</v>
      </c>
      <c r="M11" s="38" t="n">
        <v>1649.93</v>
      </c>
      <c r="N11" s="38" t="n">
        <v>121.48</v>
      </c>
    </row>
    <row r="12" customFormat="false" ht="15" hidden="false" customHeight="true" outlineLevel="0" collapsed="false">
      <c r="A12" s="39" t="s">
        <v>119</v>
      </c>
      <c r="B12" s="39" t="s">
        <v>207</v>
      </c>
      <c r="C12" s="39" t="s">
        <v>128</v>
      </c>
      <c r="D12" s="40" t="n">
        <v>2223</v>
      </c>
      <c r="E12" s="40" t="n">
        <v>2168</v>
      </c>
      <c r="F12" s="40" t="n">
        <v>1939</v>
      </c>
      <c r="G12" s="40" t="n">
        <v>229</v>
      </c>
      <c r="H12" s="40" t="n">
        <v>370</v>
      </c>
      <c r="I12" s="40" t="n">
        <v>48</v>
      </c>
      <c r="J12" s="40" t="n">
        <v>6</v>
      </c>
      <c r="K12" s="40" t="n">
        <v>2200</v>
      </c>
      <c r="L12" s="41" t="n">
        <v>71582.04</v>
      </c>
      <c r="M12" s="41" t="n">
        <v>70080.35</v>
      </c>
      <c r="N12" s="41" t="n">
        <v>5741.15</v>
      </c>
    </row>
    <row r="13" customFormat="false" ht="15" hidden="false" customHeight="true" outlineLevel="0" collapsed="false">
      <c r="A13" s="21" t="s">
        <v>38</v>
      </c>
      <c r="B13" s="21" t="s">
        <v>208</v>
      </c>
      <c r="C13" s="21" t="s">
        <v>122</v>
      </c>
      <c r="D13" s="37" t="n">
        <v>368</v>
      </c>
      <c r="E13" s="37" t="n">
        <v>359</v>
      </c>
      <c r="F13" s="37" t="n">
        <v>310</v>
      </c>
      <c r="G13" s="37" t="n">
        <v>49</v>
      </c>
      <c r="H13" s="37" t="n">
        <v>76</v>
      </c>
      <c r="I13" s="37" t="n">
        <v>7</v>
      </c>
      <c r="J13" s="37" t="n">
        <v>0</v>
      </c>
      <c r="K13" s="37" t="n">
        <v>366</v>
      </c>
      <c r="L13" s="38" t="n">
        <v>10222.08</v>
      </c>
      <c r="M13" s="38" t="n">
        <v>10029.11</v>
      </c>
      <c r="N13" s="38" t="n">
        <v>882.07</v>
      </c>
    </row>
    <row r="14" customFormat="false" ht="15" hidden="false" customHeight="true" outlineLevel="0" collapsed="false">
      <c r="A14" s="21" t="s">
        <v>38</v>
      </c>
      <c r="B14" s="21" t="s">
        <v>208</v>
      </c>
      <c r="C14" s="21" t="s">
        <v>123</v>
      </c>
      <c r="D14" s="37" t="n">
        <v>126</v>
      </c>
      <c r="E14" s="37" t="n">
        <v>122</v>
      </c>
      <c r="F14" s="37" t="n">
        <v>102</v>
      </c>
      <c r="G14" s="37" t="n">
        <v>20</v>
      </c>
      <c r="H14" s="37" t="n">
        <v>28</v>
      </c>
      <c r="I14" s="37" t="n">
        <v>4</v>
      </c>
      <c r="J14" s="37" t="n">
        <v>0</v>
      </c>
      <c r="K14" s="37" t="n">
        <v>124</v>
      </c>
      <c r="L14" s="38" t="n">
        <v>3351.27</v>
      </c>
      <c r="M14" s="38" t="n">
        <v>3322.72</v>
      </c>
      <c r="N14" s="38" t="n">
        <v>342.18</v>
      </c>
    </row>
    <row r="15" customFormat="false" ht="15" hidden="false" customHeight="true" outlineLevel="0" collapsed="false">
      <c r="A15" s="21" t="s">
        <v>38</v>
      </c>
      <c r="B15" s="21" t="s">
        <v>208</v>
      </c>
      <c r="C15" s="21" t="s">
        <v>124</v>
      </c>
      <c r="D15" s="37" t="n">
        <v>791</v>
      </c>
      <c r="E15" s="37" t="n">
        <v>769</v>
      </c>
      <c r="F15" s="37" t="n">
        <v>671</v>
      </c>
      <c r="G15" s="37" t="n">
        <v>98</v>
      </c>
      <c r="H15" s="37" t="n">
        <v>154</v>
      </c>
      <c r="I15" s="37" t="n">
        <v>17</v>
      </c>
      <c r="J15" s="37" t="n">
        <v>3</v>
      </c>
      <c r="K15" s="37" t="n">
        <v>780</v>
      </c>
      <c r="L15" s="38" t="n">
        <v>21386.7</v>
      </c>
      <c r="M15" s="38" t="n">
        <v>20996.6</v>
      </c>
      <c r="N15" s="38" t="n">
        <v>2011.91</v>
      </c>
    </row>
    <row r="16" customFormat="false" ht="15" hidden="false" customHeight="true" outlineLevel="0" collapsed="false">
      <c r="A16" s="21" t="s">
        <v>38</v>
      </c>
      <c r="B16" s="21" t="s">
        <v>208</v>
      </c>
      <c r="C16" s="21" t="s">
        <v>125</v>
      </c>
      <c r="D16" s="37" t="n">
        <v>74</v>
      </c>
      <c r="E16" s="37" t="n">
        <v>71</v>
      </c>
      <c r="F16" s="37" t="n">
        <v>61</v>
      </c>
      <c r="G16" s="37" t="n">
        <v>10</v>
      </c>
      <c r="H16" s="37" t="n">
        <v>16</v>
      </c>
      <c r="I16" s="37" t="n">
        <v>1</v>
      </c>
      <c r="J16" s="37" t="n">
        <v>2</v>
      </c>
      <c r="K16" s="37" t="n">
        <v>74</v>
      </c>
      <c r="L16" s="38" t="n">
        <v>2166.42</v>
      </c>
      <c r="M16" s="38" t="n">
        <v>2106.17</v>
      </c>
      <c r="N16" s="38" t="n">
        <v>169.72</v>
      </c>
    </row>
    <row r="17" customFormat="false" ht="15" hidden="false" customHeight="true" outlineLevel="0" collapsed="false">
      <c r="A17" s="21" t="s">
        <v>38</v>
      </c>
      <c r="B17" s="21" t="s">
        <v>208</v>
      </c>
      <c r="C17" s="21" t="s">
        <v>32</v>
      </c>
      <c r="D17" s="37" t="n">
        <v>126</v>
      </c>
      <c r="E17" s="37" t="n">
        <v>123</v>
      </c>
      <c r="F17" s="37" t="n">
        <v>108</v>
      </c>
      <c r="G17" s="37" t="n">
        <v>15</v>
      </c>
      <c r="H17" s="37" t="n">
        <v>24</v>
      </c>
      <c r="I17" s="37" t="n">
        <v>3</v>
      </c>
      <c r="J17" s="37" t="n">
        <v>0</v>
      </c>
      <c r="K17" s="37" t="n">
        <v>124</v>
      </c>
      <c r="L17" s="38" t="n">
        <v>3619.58</v>
      </c>
      <c r="M17" s="38" t="n">
        <v>3547.69</v>
      </c>
      <c r="N17" s="38" t="n">
        <v>270.56</v>
      </c>
    </row>
    <row r="18" customFormat="false" ht="15" hidden="false" customHeight="true" outlineLevel="0" collapsed="false">
      <c r="A18" s="21" t="s">
        <v>38</v>
      </c>
      <c r="B18" s="21" t="s">
        <v>208</v>
      </c>
      <c r="C18" s="21" t="s">
        <v>126</v>
      </c>
      <c r="D18" s="37" t="n">
        <v>366</v>
      </c>
      <c r="E18" s="37" t="n">
        <v>354</v>
      </c>
      <c r="F18" s="37" t="n">
        <v>310</v>
      </c>
      <c r="G18" s="37" t="n">
        <v>44</v>
      </c>
      <c r="H18" s="37" t="n">
        <v>67</v>
      </c>
      <c r="I18" s="37" t="n">
        <v>12</v>
      </c>
      <c r="J18" s="37" t="n">
        <v>0</v>
      </c>
      <c r="K18" s="37" t="n">
        <v>362</v>
      </c>
      <c r="L18" s="38" t="n">
        <v>9979.09</v>
      </c>
      <c r="M18" s="38" t="n">
        <v>9780.58</v>
      </c>
      <c r="N18" s="38" t="n">
        <v>856.2</v>
      </c>
    </row>
    <row r="19" customFormat="false" ht="15" hidden="false" customHeight="true" outlineLevel="0" collapsed="false">
      <c r="A19" s="21" t="s">
        <v>38</v>
      </c>
      <c r="B19" s="21" t="s">
        <v>208</v>
      </c>
      <c r="C19" s="21" t="s">
        <v>127</v>
      </c>
      <c r="D19" s="37" t="n">
        <v>52</v>
      </c>
      <c r="E19" s="37" t="n">
        <v>48</v>
      </c>
      <c r="F19" s="37" t="n">
        <v>43</v>
      </c>
      <c r="G19" s="37" t="n">
        <v>5</v>
      </c>
      <c r="H19" s="37" t="n">
        <v>8</v>
      </c>
      <c r="I19" s="37" t="n">
        <v>3</v>
      </c>
      <c r="J19" s="37" t="n">
        <v>0</v>
      </c>
      <c r="K19" s="37" t="n">
        <v>52</v>
      </c>
      <c r="L19" s="38" t="n">
        <v>1491.74</v>
      </c>
      <c r="M19" s="38" t="n">
        <v>1491.74</v>
      </c>
      <c r="N19" s="38" t="n">
        <v>162.8</v>
      </c>
    </row>
    <row r="20" customFormat="false" ht="15" hidden="false" customHeight="true" outlineLevel="0" collapsed="false">
      <c r="A20" s="39" t="s">
        <v>38</v>
      </c>
      <c r="B20" s="39" t="s">
        <v>208</v>
      </c>
      <c r="C20" s="39" t="s">
        <v>128</v>
      </c>
      <c r="D20" s="40" t="n">
        <v>1903</v>
      </c>
      <c r="E20" s="40" t="n">
        <v>1846</v>
      </c>
      <c r="F20" s="40" t="n">
        <v>1605</v>
      </c>
      <c r="G20" s="40" t="n">
        <v>241</v>
      </c>
      <c r="H20" s="40" t="n">
        <v>373</v>
      </c>
      <c r="I20" s="40" t="n">
        <v>47</v>
      </c>
      <c r="J20" s="40" t="n">
        <v>5</v>
      </c>
      <c r="K20" s="40" t="n">
        <v>1882</v>
      </c>
      <c r="L20" s="41" t="n">
        <v>52216.88</v>
      </c>
      <c r="M20" s="41" t="n">
        <v>51274.61</v>
      </c>
      <c r="N20" s="41" t="n">
        <v>4695.44</v>
      </c>
    </row>
    <row r="21" customFormat="false" ht="15" hidden="false" customHeight="true" outlineLevel="0" collapsed="false">
      <c r="A21" s="21" t="s">
        <v>35</v>
      </c>
      <c r="B21" s="21" t="s">
        <v>209</v>
      </c>
      <c r="C21" s="21" t="s">
        <v>122</v>
      </c>
      <c r="D21" s="37" t="n">
        <v>259</v>
      </c>
      <c r="E21" s="37" t="n">
        <v>238</v>
      </c>
      <c r="F21" s="37" t="n">
        <v>189</v>
      </c>
      <c r="G21" s="37" t="n">
        <v>49</v>
      </c>
      <c r="H21" s="37" t="n">
        <v>79</v>
      </c>
      <c r="I21" s="37" t="n">
        <v>14</v>
      </c>
      <c r="J21" s="37" t="n">
        <v>7</v>
      </c>
      <c r="K21" s="37" t="n">
        <v>257</v>
      </c>
      <c r="L21" s="38" t="n">
        <v>5948.54</v>
      </c>
      <c r="M21" s="38" t="n">
        <v>5774.01</v>
      </c>
      <c r="N21" s="38" t="n">
        <v>655.45</v>
      </c>
    </row>
    <row r="22" customFormat="false" ht="15" hidden="false" customHeight="true" outlineLevel="0" collapsed="false">
      <c r="A22" s="21" t="s">
        <v>35</v>
      </c>
      <c r="B22" s="21" t="s">
        <v>209</v>
      </c>
      <c r="C22" s="21" t="s">
        <v>123</v>
      </c>
      <c r="D22" s="37" t="n">
        <v>179</v>
      </c>
      <c r="E22" s="37" t="n">
        <v>169</v>
      </c>
      <c r="F22" s="37" t="n">
        <v>134</v>
      </c>
      <c r="G22" s="37" t="n">
        <v>35</v>
      </c>
      <c r="H22" s="37" t="n">
        <v>51</v>
      </c>
      <c r="I22" s="37" t="n">
        <v>7</v>
      </c>
      <c r="J22" s="37" t="n">
        <v>3</v>
      </c>
      <c r="K22" s="37" t="n">
        <v>179</v>
      </c>
      <c r="L22" s="38" t="n">
        <v>3867.3</v>
      </c>
      <c r="M22" s="38" t="n">
        <v>3745.57</v>
      </c>
      <c r="N22" s="38" t="n">
        <v>433.06</v>
      </c>
    </row>
    <row r="23" customFormat="false" ht="15" hidden="false" customHeight="true" outlineLevel="0" collapsed="false">
      <c r="A23" s="21" t="s">
        <v>35</v>
      </c>
      <c r="B23" s="21" t="s">
        <v>209</v>
      </c>
      <c r="C23" s="21" t="s">
        <v>124</v>
      </c>
      <c r="D23" s="37" t="n">
        <v>763</v>
      </c>
      <c r="E23" s="37" t="n">
        <v>710</v>
      </c>
      <c r="F23" s="37" t="n">
        <v>561</v>
      </c>
      <c r="G23" s="37" t="n">
        <v>149</v>
      </c>
      <c r="H23" s="37" t="n">
        <v>215</v>
      </c>
      <c r="I23" s="37" t="n">
        <v>45</v>
      </c>
      <c r="J23" s="37" t="n">
        <v>8</v>
      </c>
      <c r="K23" s="37" t="n">
        <v>751</v>
      </c>
      <c r="L23" s="38" t="n">
        <v>16265.69</v>
      </c>
      <c r="M23" s="38" t="n">
        <v>15771.63</v>
      </c>
      <c r="N23" s="38" t="n">
        <v>1852.15</v>
      </c>
    </row>
    <row r="24" customFormat="false" ht="15" hidden="false" customHeight="true" outlineLevel="0" collapsed="false">
      <c r="A24" s="21" t="s">
        <v>35</v>
      </c>
      <c r="B24" s="21" t="s">
        <v>209</v>
      </c>
      <c r="C24" s="21" t="s">
        <v>125</v>
      </c>
      <c r="D24" s="37" t="n">
        <v>98</v>
      </c>
      <c r="E24" s="37" t="n">
        <v>89</v>
      </c>
      <c r="F24" s="37" t="n">
        <v>64</v>
      </c>
      <c r="G24" s="37" t="n">
        <v>25</v>
      </c>
      <c r="H24" s="37" t="n">
        <v>34</v>
      </c>
      <c r="I24" s="37" t="n">
        <v>7</v>
      </c>
      <c r="J24" s="37" t="n">
        <v>1</v>
      </c>
      <c r="K24" s="37" t="n">
        <v>97</v>
      </c>
      <c r="L24" s="38" t="n">
        <v>2304.88</v>
      </c>
      <c r="M24" s="38" t="n">
        <v>2219.56</v>
      </c>
      <c r="N24" s="38" t="n">
        <v>227.29</v>
      </c>
    </row>
    <row r="25" customFormat="false" ht="15" hidden="false" customHeight="true" outlineLevel="0" collapsed="false">
      <c r="A25" s="21" t="s">
        <v>35</v>
      </c>
      <c r="B25" s="21" t="s">
        <v>209</v>
      </c>
      <c r="C25" s="21" t="s">
        <v>32</v>
      </c>
      <c r="D25" s="37" t="n">
        <v>147</v>
      </c>
      <c r="E25" s="37" t="n">
        <v>140</v>
      </c>
      <c r="F25" s="37" t="n">
        <v>97</v>
      </c>
      <c r="G25" s="37" t="n">
        <v>43</v>
      </c>
      <c r="H25" s="37" t="n">
        <v>60</v>
      </c>
      <c r="I25" s="37" t="n">
        <v>6</v>
      </c>
      <c r="J25" s="37" t="n">
        <v>1</v>
      </c>
      <c r="K25" s="37" t="n">
        <v>147</v>
      </c>
      <c r="L25" s="38" t="n">
        <v>3561.26</v>
      </c>
      <c r="M25" s="38" t="n">
        <v>3501.71</v>
      </c>
      <c r="N25" s="38" t="n">
        <v>380.17</v>
      </c>
    </row>
    <row r="26" customFormat="false" ht="15" hidden="false" customHeight="true" outlineLevel="0" collapsed="false">
      <c r="A26" s="21" t="s">
        <v>35</v>
      </c>
      <c r="B26" s="21" t="s">
        <v>209</v>
      </c>
      <c r="C26" s="21" t="s">
        <v>126</v>
      </c>
      <c r="D26" s="37" t="n">
        <v>474</v>
      </c>
      <c r="E26" s="37" t="n">
        <v>449</v>
      </c>
      <c r="F26" s="37" t="n">
        <v>360</v>
      </c>
      <c r="G26" s="37" t="n">
        <v>89</v>
      </c>
      <c r="H26" s="37" t="n">
        <v>160</v>
      </c>
      <c r="I26" s="37" t="n">
        <v>21</v>
      </c>
      <c r="J26" s="37" t="n">
        <v>3</v>
      </c>
      <c r="K26" s="37" t="n">
        <v>471</v>
      </c>
      <c r="L26" s="38" t="n">
        <v>10299.33</v>
      </c>
      <c r="M26" s="38" t="n">
        <v>10153.28</v>
      </c>
      <c r="N26" s="38" t="n">
        <v>1141.19</v>
      </c>
    </row>
    <row r="27" customFormat="false" ht="15" hidden="false" customHeight="true" outlineLevel="0" collapsed="false">
      <c r="A27" s="21" t="s">
        <v>35</v>
      </c>
      <c r="B27" s="21" t="s">
        <v>209</v>
      </c>
      <c r="C27" s="21" t="s">
        <v>127</v>
      </c>
      <c r="D27" s="37" t="n">
        <v>76</v>
      </c>
      <c r="E27" s="37" t="n">
        <v>72</v>
      </c>
      <c r="F27" s="37" t="n">
        <v>60</v>
      </c>
      <c r="G27" s="37" t="n">
        <v>12</v>
      </c>
      <c r="H27" s="37" t="n">
        <v>23</v>
      </c>
      <c r="I27" s="37" t="n">
        <v>4</v>
      </c>
      <c r="J27" s="37" t="n">
        <v>0</v>
      </c>
      <c r="K27" s="37" t="n">
        <v>76</v>
      </c>
      <c r="L27" s="38" t="n">
        <v>1681.22</v>
      </c>
      <c r="M27" s="38" t="n">
        <v>1652.41</v>
      </c>
      <c r="N27" s="38" t="n">
        <v>177.99</v>
      </c>
    </row>
    <row r="28" customFormat="false" ht="15" hidden="false" customHeight="true" outlineLevel="0" collapsed="false">
      <c r="A28" s="39" t="s">
        <v>35</v>
      </c>
      <c r="B28" s="39" t="s">
        <v>209</v>
      </c>
      <c r="C28" s="39" t="s">
        <v>128</v>
      </c>
      <c r="D28" s="40" t="n">
        <v>1996</v>
      </c>
      <c r="E28" s="40" t="n">
        <v>1867</v>
      </c>
      <c r="F28" s="40" t="n">
        <v>1465</v>
      </c>
      <c r="G28" s="40" t="n">
        <v>402</v>
      </c>
      <c r="H28" s="40" t="n">
        <v>622</v>
      </c>
      <c r="I28" s="40" t="n">
        <v>104</v>
      </c>
      <c r="J28" s="40" t="n">
        <v>23</v>
      </c>
      <c r="K28" s="40" t="n">
        <v>1978</v>
      </c>
      <c r="L28" s="41" t="n">
        <v>43928.22</v>
      </c>
      <c r="M28" s="41" t="n">
        <v>42818.17</v>
      </c>
      <c r="N28" s="41" t="n">
        <v>4867.3</v>
      </c>
    </row>
    <row r="29" customFormat="false" ht="15" hidden="false" customHeight="true" outlineLevel="0" collapsed="false">
      <c r="A29" s="21" t="s">
        <v>120</v>
      </c>
      <c r="B29" s="21" t="s">
        <v>210</v>
      </c>
      <c r="C29" s="21" t="s">
        <v>122</v>
      </c>
      <c r="D29" s="37" t="n">
        <v>513</v>
      </c>
      <c r="E29" s="37" t="n">
        <v>494</v>
      </c>
      <c r="F29" s="37" t="n">
        <v>414</v>
      </c>
      <c r="G29" s="37" t="n">
        <v>80</v>
      </c>
      <c r="H29" s="37" t="n">
        <v>141</v>
      </c>
      <c r="I29" s="37" t="n">
        <v>13</v>
      </c>
      <c r="J29" s="37" t="n">
        <v>4</v>
      </c>
      <c r="K29" s="37" t="n">
        <v>506</v>
      </c>
      <c r="L29" s="38" t="n">
        <v>13087.44</v>
      </c>
      <c r="M29" s="38" t="n">
        <v>12742.12</v>
      </c>
      <c r="N29" s="38" t="n">
        <v>1182.96</v>
      </c>
    </row>
    <row r="30" customFormat="false" ht="15" hidden="false" customHeight="true" outlineLevel="0" collapsed="false">
      <c r="A30" s="21" t="s">
        <v>120</v>
      </c>
      <c r="B30" s="21" t="s">
        <v>210</v>
      </c>
      <c r="C30" s="21" t="s">
        <v>123</v>
      </c>
      <c r="D30" s="37" t="n">
        <v>80</v>
      </c>
      <c r="E30" s="37" t="n">
        <v>80</v>
      </c>
      <c r="F30" s="37" t="n">
        <v>69</v>
      </c>
      <c r="G30" s="37" t="n">
        <v>11</v>
      </c>
      <c r="H30" s="37" t="n">
        <v>21</v>
      </c>
      <c r="I30" s="37" t="n">
        <v>0</v>
      </c>
      <c r="J30" s="37" t="n">
        <v>0</v>
      </c>
      <c r="K30" s="37" t="n">
        <v>80</v>
      </c>
      <c r="L30" s="38" t="n">
        <v>2113.62</v>
      </c>
      <c r="M30" s="38" t="n">
        <v>2113.62</v>
      </c>
      <c r="N30" s="38" t="n">
        <v>221.96</v>
      </c>
    </row>
    <row r="31" customFormat="false" ht="15" hidden="false" customHeight="true" outlineLevel="0" collapsed="false">
      <c r="A31" s="21" t="s">
        <v>120</v>
      </c>
      <c r="B31" s="21" t="s">
        <v>210</v>
      </c>
      <c r="C31" s="21" t="s">
        <v>124</v>
      </c>
      <c r="D31" s="37" t="n">
        <v>389</v>
      </c>
      <c r="E31" s="37" t="n">
        <v>379</v>
      </c>
      <c r="F31" s="37" t="n">
        <v>333</v>
      </c>
      <c r="G31" s="37" t="n">
        <v>46</v>
      </c>
      <c r="H31" s="37" t="n">
        <v>71</v>
      </c>
      <c r="I31" s="37" t="n">
        <v>8</v>
      </c>
      <c r="J31" s="37" t="n">
        <v>2</v>
      </c>
      <c r="K31" s="37" t="n">
        <v>385</v>
      </c>
      <c r="L31" s="38" t="n">
        <v>9581.3</v>
      </c>
      <c r="M31" s="38" t="n">
        <v>9399.17</v>
      </c>
      <c r="N31" s="38" t="n">
        <v>942.48</v>
      </c>
    </row>
    <row r="32" customFormat="false" ht="15" hidden="false" customHeight="true" outlineLevel="0" collapsed="false">
      <c r="A32" s="21" t="s">
        <v>120</v>
      </c>
      <c r="B32" s="21" t="s">
        <v>210</v>
      </c>
      <c r="C32" s="21" t="s">
        <v>125</v>
      </c>
      <c r="D32" s="37" t="n">
        <v>51</v>
      </c>
      <c r="E32" s="37" t="n">
        <v>50</v>
      </c>
      <c r="F32" s="37" t="n">
        <v>38</v>
      </c>
      <c r="G32" s="37" t="n">
        <v>12</v>
      </c>
      <c r="H32" s="37" t="n">
        <v>24</v>
      </c>
      <c r="I32" s="37" t="n">
        <v>1</v>
      </c>
      <c r="J32" s="37" t="n">
        <v>0</v>
      </c>
      <c r="K32" s="37" t="n">
        <v>50</v>
      </c>
      <c r="L32" s="38" t="n">
        <v>1294.7</v>
      </c>
      <c r="M32" s="38" t="n">
        <v>1294.7</v>
      </c>
      <c r="N32" s="38" t="n">
        <v>122.73</v>
      </c>
    </row>
    <row r="33" customFormat="false" ht="15" hidden="false" customHeight="true" outlineLevel="0" collapsed="false">
      <c r="A33" s="21" t="s">
        <v>120</v>
      </c>
      <c r="B33" s="21" t="s">
        <v>210</v>
      </c>
      <c r="C33" s="21" t="s">
        <v>32</v>
      </c>
      <c r="D33" s="37" t="n">
        <v>72</v>
      </c>
      <c r="E33" s="37" t="n">
        <v>71</v>
      </c>
      <c r="F33" s="37" t="n">
        <v>58</v>
      </c>
      <c r="G33" s="37" t="n">
        <v>13</v>
      </c>
      <c r="H33" s="37" t="n">
        <v>17</v>
      </c>
      <c r="I33" s="37" t="n">
        <v>0</v>
      </c>
      <c r="J33" s="37" t="n">
        <v>0</v>
      </c>
      <c r="K33" s="37" t="n">
        <v>72</v>
      </c>
      <c r="L33" s="38" t="n">
        <v>2069.05</v>
      </c>
      <c r="M33" s="38" t="n">
        <v>2045.47</v>
      </c>
      <c r="N33" s="38" t="n">
        <v>203.78</v>
      </c>
    </row>
    <row r="34" customFormat="false" ht="15" hidden="false" customHeight="true" outlineLevel="0" collapsed="false">
      <c r="A34" s="21" t="s">
        <v>120</v>
      </c>
      <c r="B34" s="21" t="s">
        <v>210</v>
      </c>
      <c r="C34" s="21" t="s">
        <v>126</v>
      </c>
      <c r="D34" s="37" t="n">
        <v>215</v>
      </c>
      <c r="E34" s="37" t="n">
        <v>209</v>
      </c>
      <c r="F34" s="37" t="n">
        <v>168</v>
      </c>
      <c r="G34" s="37" t="n">
        <v>41</v>
      </c>
      <c r="H34" s="37" t="n">
        <v>56</v>
      </c>
      <c r="I34" s="37" t="n">
        <v>5</v>
      </c>
      <c r="J34" s="37" t="n">
        <v>1</v>
      </c>
      <c r="K34" s="37" t="n">
        <v>211</v>
      </c>
      <c r="L34" s="38" t="n">
        <v>5545.78</v>
      </c>
      <c r="M34" s="38" t="n">
        <v>5436.55</v>
      </c>
      <c r="N34" s="38" t="n">
        <v>543.71</v>
      </c>
    </row>
    <row r="35" customFormat="false" ht="15" hidden="false" customHeight="true" outlineLevel="0" collapsed="false">
      <c r="A35" s="21" t="s">
        <v>120</v>
      </c>
      <c r="B35" s="21" t="s">
        <v>210</v>
      </c>
      <c r="C35" s="21" t="s">
        <v>127</v>
      </c>
      <c r="D35" s="37" t="n">
        <v>31</v>
      </c>
      <c r="E35" s="37" t="n">
        <v>31</v>
      </c>
      <c r="F35" s="37" t="n">
        <v>26</v>
      </c>
      <c r="G35" s="37" t="n">
        <v>5</v>
      </c>
      <c r="H35" s="37" t="n">
        <v>7</v>
      </c>
      <c r="I35" s="37" t="n">
        <v>0</v>
      </c>
      <c r="J35" s="37" t="n">
        <v>0</v>
      </c>
      <c r="K35" s="37" t="n">
        <v>31</v>
      </c>
      <c r="L35" s="38" t="n">
        <v>860.97</v>
      </c>
      <c r="M35" s="38" t="n">
        <v>860.97</v>
      </c>
      <c r="N35" s="38" t="n">
        <v>90.91</v>
      </c>
    </row>
    <row r="36" customFormat="false" ht="15" hidden="false" customHeight="true" outlineLevel="0" collapsed="false">
      <c r="A36" s="39" t="s">
        <v>120</v>
      </c>
      <c r="B36" s="39" t="s">
        <v>210</v>
      </c>
      <c r="C36" s="39" t="s">
        <v>128</v>
      </c>
      <c r="D36" s="40" t="n">
        <v>1351</v>
      </c>
      <c r="E36" s="40" t="n">
        <v>1314</v>
      </c>
      <c r="F36" s="40" t="n">
        <v>1106</v>
      </c>
      <c r="G36" s="40" t="n">
        <v>208</v>
      </c>
      <c r="H36" s="40" t="n">
        <v>337</v>
      </c>
      <c r="I36" s="40" t="n">
        <v>27</v>
      </c>
      <c r="J36" s="40" t="n">
        <v>7</v>
      </c>
      <c r="K36" s="40" t="n">
        <v>1335</v>
      </c>
      <c r="L36" s="41" t="n">
        <v>34552.86</v>
      </c>
      <c r="M36" s="41" t="n">
        <v>33892.6</v>
      </c>
      <c r="N36" s="41" t="n">
        <v>3308.53</v>
      </c>
    </row>
    <row r="37" customFormat="false" ht="15" hidden="false" customHeight="true" outlineLevel="0" collapsed="false">
      <c r="A37" s="21" t="s">
        <v>121</v>
      </c>
      <c r="B37" s="21" t="s">
        <v>211</v>
      </c>
      <c r="C37" s="21" t="s">
        <v>122</v>
      </c>
      <c r="D37" s="37" t="n">
        <v>299</v>
      </c>
      <c r="E37" s="37" t="n">
        <v>294</v>
      </c>
      <c r="F37" s="37" t="n">
        <v>257</v>
      </c>
      <c r="G37" s="37" t="n">
        <v>37</v>
      </c>
      <c r="H37" s="37" t="n">
        <v>65</v>
      </c>
      <c r="I37" s="37" t="n">
        <v>4</v>
      </c>
      <c r="J37" s="37" t="n">
        <v>1</v>
      </c>
      <c r="K37" s="37" t="n">
        <v>291</v>
      </c>
      <c r="L37" s="38" t="n">
        <v>8682.63</v>
      </c>
      <c r="M37" s="38" t="n">
        <v>8544.15</v>
      </c>
      <c r="N37" s="38" t="n">
        <v>721.84</v>
      </c>
    </row>
    <row r="38" customFormat="false" ht="15" hidden="false" customHeight="true" outlineLevel="0" collapsed="false">
      <c r="A38" s="21" t="s">
        <v>121</v>
      </c>
      <c r="B38" s="21" t="s">
        <v>211</v>
      </c>
      <c r="C38" s="21" t="s">
        <v>123</v>
      </c>
      <c r="D38" s="37" t="n">
        <v>112</v>
      </c>
      <c r="E38" s="37" t="n">
        <v>109</v>
      </c>
      <c r="F38" s="37" t="n">
        <v>96</v>
      </c>
      <c r="G38" s="37" t="n">
        <v>13</v>
      </c>
      <c r="H38" s="37" t="n">
        <v>17</v>
      </c>
      <c r="I38" s="37" t="n">
        <v>2</v>
      </c>
      <c r="J38" s="37" t="n">
        <v>0</v>
      </c>
      <c r="K38" s="37" t="n">
        <v>111</v>
      </c>
      <c r="L38" s="38" t="n">
        <v>3326.38</v>
      </c>
      <c r="M38" s="38" t="n">
        <v>3300.92</v>
      </c>
      <c r="N38" s="38" t="n">
        <v>284.63</v>
      </c>
    </row>
    <row r="39" customFormat="false" ht="15" hidden="false" customHeight="true" outlineLevel="0" collapsed="false">
      <c r="A39" s="21" t="s">
        <v>121</v>
      </c>
      <c r="B39" s="21" t="s">
        <v>211</v>
      </c>
      <c r="C39" s="21" t="s">
        <v>124</v>
      </c>
      <c r="D39" s="37" t="n">
        <v>481</v>
      </c>
      <c r="E39" s="37" t="n">
        <v>466</v>
      </c>
      <c r="F39" s="37" t="n">
        <v>410</v>
      </c>
      <c r="G39" s="37" t="n">
        <v>56</v>
      </c>
      <c r="H39" s="37" t="n">
        <v>105</v>
      </c>
      <c r="I39" s="37" t="n">
        <v>13</v>
      </c>
      <c r="J39" s="37" t="n">
        <v>1</v>
      </c>
      <c r="K39" s="37" t="n">
        <v>477</v>
      </c>
      <c r="L39" s="38" t="n">
        <v>13999.43</v>
      </c>
      <c r="M39" s="38" t="n">
        <v>13682.84</v>
      </c>
      <c r="N39" s="38" t="n">
        <v>1262.85</v>
      </c>
    </row>
    <row r="40" customFormat="false" ht="15" hidden="false" customHeight="true" outlineLevel="0" collapsed="false">
      <c r="A40" s="21" t="s">
        <v>121</v>
      </c>
      <c r="B40" s="21" t="s">
        <v>211</v>
      </c>
      <c r="C40" s="21" t="s">
        <v>125</v>
      </c>
      <c r="D40" s="37" t="n">
        <v>49</v>
      </c>
      <c r="E40" s="37" t="n">
        <v>49</v>
      </c>
      <c r="F40" s="37" t="n">
        <v>48</v>
      </c>
      <c r="G40" s="37" t="n">
        <v>1</v>
      </c>
      <c r="H40" s="37" t="n">
        <v>4</v>
      </c>
      <c r="I40" s="37" t="n">
        <v>0</v>
      </c>
      <c r="J40" s="37" t="n">
        <v>0</v>
      </c>
      <c r="K40" s="37" t="n">
        <v>49</v>
      </c>
      <c r="L40" s="38" t="n">
        <v>1490.43</v>
      </c>
      <c r="M40" s="38" t="n">
        <v>1457.38</v>
      </c>
      <c r="N40" s="38" t="n">
        <v>118.44</v>
      </c>
    </row>
    <row r="41" customFormat="false" ht="15" hidden="false" customHeight="true" outlineLevel="0" collapsed="false">
      <c r="A41" s="21" t="s">
        <v>121</v>
      </c>
      <c r="B41" s="21" t="s">
        <v>211</v>
      </c>
      <c r="C41" s="21" t="s">
        <v>32</v>
      </c>
      <c r="D41" s="37" t="n">
        <v>80</v>
      </c>
      <c r="E41" s="37" t="n">
        <v>79</v>
      </c>
      <c r="F41" s="37" t="n">
        <v>68</v>
      </c>
      <c r="G41" s="37" t="n">
        <v>11</v>
      </c>
      <c r="H41" s="37" t="n">
        <v>17</v>
      </c>
      <c r="I41" s="37" t="n">
        <v>1</v>
      </c>
      <c r="J41" s="37" t="n">
        <v>0</v>
      </c>
      <c r="K41" s="37" t="n">
        <v>80</v>
      </c>
      <c r="L41" s="38" t="n">
        <v>2462.04</v>
      </c>
      <c r="M41" s="38" t="n">
        <v>2404.55</v>
      </c>
      <c r="N41" s="38" t="n">
        <v>226.81</v>
      </c>
    </row>
    <row r="42" customFormat="false" ht="15" hidden="false" customHeight="true" outlineLevel="0" collapsed="false">
      <c r="A42" s="21" t="s">
        <v>121</v>
      </c>
      <c r="B42" s="21" t="s">
        <v>211</v>
      </c>
      <c r="C42" s="21" t="s">
        <v>126</v>
      </c>
      <c r="D42" s="37" t="n">
        <v>261</v>
      </c>
      <c r="E42" s="37" t="n">
        <v>249</v>
      </c>
      <c r="F42" s="37" t="n">
        <v>213</v>
      </c>
      <c r="G42" s="37" t="n">
        <v>36</v>
      </c>
      <c r="H42" s="37" t="n">
        <v>52</v>
      </c>
      <c r="I42" s="37" t="n">
        <v>11</v>
      </c>
      <c r="J42" s="37" t="n">
        <v>0</v>
      </c>
      <c r="K42" s="37" t="n">
        <v>257</v>
      </c>
      <c r="L42" s="38" t="n">
        <v>7232.57</v>
      </c>
      <c r="M42" s="38" t="n">
        <v>7186.7</v>
      </c>
      <c r="N42" s="38" t="n">
        <v>609.81</v>
      </c>
    </row>
    <row r="43" customFormat="false" ht="15" hidden="false" customHeight="true" outlineLevel="0" collapsed="false">
      <c r="A43" s="21" t="s">
        <v>121</v>
      </c>
      <c r="B43" s="21" t="s">
        <v>211</v>
      </c>
      <c r="C43" s="21" t="s">
        <v>127</v>
      </c>
      <c r="D43" s="37" t="n">
        <v>47</v>
      </c>
      <c r="E43" s="37" t="n">
        <v>47</v>
      </c>
      <c r="F43" s="37" t="n">
        <v>41</v>
      </c>
      <c r="G43" s="37" t="n">
        <v>6</v>
      </c>
      <c r="H43" s="37" t="n">
        <v>15</v>
      </c>
      <c r="I43" s="37" t="n">
        <v>0</v>
      </c>
      <c r="J43" s="37" t="n">
        <v>0</v>
      </c>
      <c r="K43" s="37" t="n">
        <v>46</v>
      </c>
      <c r="L43" s="38" t="n">
        <v>1440.04</v>
      </c>
      <c r="M43" s="38" t="n">
        <v>1400.08</v>
      </c>
      <c r="N43" s="38" t="n">
        <v>100.66</v>
      </c>
    </row>
    <row r="44" customFormat="false" ht="15" hidden="false" customHeight="true" outlineLevel="0" collapsed="false">
      <c r="A44" s="39" t="s">
        <v>121</v>
      </c>
      <c r="B44" s="39" t="s">
        <v>211</v>
      </c>
      <c r="C44" s="39" t="s">
        <v>128</v>
      </c>
      <c r="D44" s="40" t="n">
        <v>1329</v>
      </c>
      <c r="E44" s="40" t="n">
        <v>1293</v>
      </c>
      <c r="F44" s="40" t="n">
        <v>1133</v>
      </c>
      <c r="G44" s="40" t="n">
        <v>160</v>
      </c>
      <c r="H44" s="40" t="n">
        <v>275</v>
      </c>
      <c r="I44" s="40" t="n">
        <v>31</v>
      </c>
      <c r="J44" s="40" t="n">
        <v>2</v>
      </c>
      <c r="K44" s="40" t="n">
        <v>1311</v>
      </c>
      <c r="L44" s="41" t="n">
        <v>38633.52</v>
      </c>
      <c r="M44" s="41" t="n">
        <v>37976.62</v>
      </c>
      <c r="N44" s="41" t="n">
        <v>3325.04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24"/>
  </cols>
  <sheetData>
    <row r="1" customFormat="false" ht="17.25" hidden="false" customHeight="true" outlineLevel="0" collapsed="false">
      <c r="A1" s="2" t="s">
        <v>212</v>
      </c>
    </row>
    <row r="3" customFormat="false" ht="15" hidden="false" customHeight="true" outlineLevel="0" collapsed="false">
      <c r="A3" s="4" t="s">
        <v>213</v>
      </c>
      <c r="B3" s="4" t="s">
        <v>214</v>
      </c>
      <c r="C3" s="4" t="s">
        <v>215</v>
      </c>
    </row>
    <row r="4" customFormat="false" ht="15" hidden="false" customHeight="true" outlineLevel="0" collapsed="false">
      <c r="A4" s="7" t="s">
        <v>128</v>
      </c>
      <c r="B4" s="7" t="s">
        <v>119</v>
      </c>
      <c r="C4" s="7" t="s">
        <v>207</v>
      </c>
    </row>
    <row r="5" customFormat="false" ht="15" hidden="false" customHeight="true" outlineLevel="0" collapsed="false">
      <c r="A5" s="7" t="s">
        <v>122</v>
      </c>
      <c r="B5" s="7" t="s">
        <v>38</v>
      </c>
      <c r="C5" s="7" t="s">
        <v>208</v>
      </c>
    </row>
    <row r="6" customFormat="false" ht="15" hidden="false" customHeight="true" outlineLevel="0" collapsed="false">
      <c r="A6" s="7" t="s">
        <v>123</v>
      </c>
      <c r="B6" s="7" t="s">
        <v>35</v>
      </c>
      <c r="C6" s="7" t="s">
        <v>209</v>
      </c>
    </row>
    <row r="7" customFormat="false" ht="15" hidden="false" customHeight="true" outlineLevel="0" collapsed="false">
      <c r="A7" s="7" t="s">
        <v>124</v>
      </c>
      <c r="B7" s="7" t="s">
        <v>120</v>
      </c>
      <c r="C7" s="7" t="s">
        <v>210</v>
      </c>
    </row>
    <row r="8" customFormat="false" ht="15" hidden="false" customHeight="true" outlineLevel="0" collapsed="false">
      <c r="A8" s="7" t="s">
        <v>125</v>
      </c>
      <c r="B8" s="7" t="s">
        <v>121</v>
      </c>
      <c r="C8" s="7" t="s">
        <v>211</v>
      </c>
    </row>
    <row r="9" customFormat="false" ht="15" hidden="false" customHeight="true" outlineLevel="0" collapsed="false">
      <c r="A9" s="7" t="s">
        <v>32</v>
      </c>
    </row>
    <row r="10" customFormat="false" ht="15" hidden="false" customHeight="true" outlineLevel="0" collapsed="false">
      <c r="A10" s="7" t="s">
        <v>126</v>
      </c>
    </row>
    <row r="11" customFormat="false" ht="15" hidden="false" customHeight="true" outlineLevel="0" collapsed="false">
      <c r="A11" s="7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8"/>
    <col collapsed="false" customWidth="true" hidden="false" outlineLevel="0" max="3" min="3" style="1" width="62"/>
  </cols>
  <sheetData>
    <row r="1" customFormat="false" ht="17.25" hidden="false" customHeight="true" outlineLevel="0" collapsed="false">
      <c r="A1" s="42" t="s">
        <v>216</v>
      </c>
      <c r="B1" s="42"/>
      <c r="C1" s="42"/>
    </row>
    <row r="2" customFormat="false" ht="15" hidden="false" customHeight="false" outlineLevel="0" collapsed="false"/>
    <row r="3" customFormat="false" ht="15" hidden="false" customHeight="true" outlineLevel="0" collapsed="false">
      <c r="A3" s="43" t="s">
        <v>217</v>
      </c>
      <c r="B3" s="43" t="s">
        <v>218</v>
      </c>
      <c r="C3" s="43" t="s">
        <v>219</v>
      </c>
    </row>
    <row r="4" customFormat="false" ht="15" hidden="false" customHeight="true" outlineLevel="0" collapsed="false">
      <c r="A4" s="44" t="s">
        <v>220</v>
      </c>
      <c r="B4" s="44" t="s">
        <v>60</v>
      </c>
      <c r="C4" s="44" t="s">
        <v>221</v>
      </c>
    </row>
    <row r="5" customFormat="false" ht="15" hidden="false" customHeight="true" outlineLevel="0" collapsed="false">
      <c r="A5" s="44" t="s">
        <v>222</v>
      </c>
      <c r="B5" s="44" t="s">
        <v>61</v>
      </c>
      <c r="C5" s="44" t="s">
        <v>223</v>
      </c>
    </row>
    <row r="6" customFormat="false" ht="15" hidden="false" customHeight="true" outlineLevel="0" collapsed="false">
      <c r="A6" s="44" t="s">
        <v>224</v>
      </c>
      <c r="B6" s="44" t="s">
        <v>62</v>
      </c>
      <c r="C6" s="44" t="s">
        <v>225</v>
      </c>
    </row>
    <row r="7" customFormat="false" ht="15" hidden="false" customHeight="true" outlineLevel="0" collapsed="false">
      <c r="A7" s="44" t="s">
        <v>226</v>
      </c>
      <c r="B7" s="44" t="s">
        <v>227</v>
      </c>
      <c r="C7" s="44" t="s">
        <v>228</v>
      </c>
    </row>
    <row r="8" customFormat="false" ht="15" hidden="false" customHeight="true" outlineLevel="0" collapsed="false">
      <c r="A8" s="44" t="s">
        <v>229</v>
      </c>
      <c r="B8" s="44" t="s">
        <v>64</v>
      </c>
      <c r="C8" s="44" t="s">
        <v>230</v>
      </c>
    </row>
    <row r="9" customFormat="false" ht="15" hidden="false" customHeight="true" outlineLevel="0" collapsed="false">
      <c r="A9" s="44" t="s">
        <v>231</v>
      </c>
      <c r="B9" s="44" t="s">
        <v>232</v>
      </c>
      <c r="C9" s="44" t="s">
        <v>233</v>
      </c>
    </row>
    <row r="10" customFormat="false" ht="15" hidden="false" customHeight="true" outlineLevel="0" collapsed="false">
      <c r="A10" s="44" t="s">
        <v>234</v>
      </c>
      <c r="B10" s="44" t="s">
        <v>235</v>
      </c>
      <c r="C10" s="44" t="s">
        <v>233</v>
      </c>
    </row>
    <row r="11" customFormat="false" ht="15" hidden="false" customHeight="true" outlineLevel="0" collapsed="false">
      <c r="A11" s="44" t="s">
        <v>236</v>
      </c>
      <c r="B11" s="44" t="s">
        <v>237</v>
      </c>
      <c r="C11" s="44" t="s">
        <v>238</v>
      </c>
    </row>
    <row r="12" customFormat="false" ht="15" hidden="false" customHeight="true" outlineLevel="0" collapsed="false">
      <c r="A12" s="44" t="s">
        <v>239</v>
      </c>
      <c r="B12" s="44" t="s">
        <v>240</v>
      </c>
      <c r="C12" s="44" t="s">
        <v>241</v>
      </c>
    </row>
    <row r="13" customFormat="false" ht="15" hidden="false" customHeight="true" outlineLevel="0" collapsed="false">
      <c r="A13" s="44" t="s">
        <v>242</v>
      </c>
      <c r="B13" s="44" t="s">
        <v>243</v>
      </c>
      <c r="C13" s="44" t="s">
        <v>244</v>
      </c>
    </row>
    <row r="14" customFormat="false" ht="15" hidden="false" customHeight="true" outlineLevel="0" collapsed="false">
      <c r="A14" s="44" t="s">
        <v>245</v>
      </c>
      <c r="B14" s="44" t="s">
        <v>246</v>
      </c>
      <c r="C14" s="44" t="s">
        <v>247</v>
      </c>
    </row>
    <row r="15" customFormat="false" ht="15" hidden="false" customHeight="true" outlineLevel="0" collapsed="false">
      <c r="A15" s="44" t="s">
        <v>248</v>
      </c>
      <c r="B15" s="44" t="s">
        <v>249</v>
      </c>
      <c r="C15" s="44" t="s">
        <v>250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2026-09-29T11:21:47Z</dcterms:created>
  <dc:creator>openpyxl</dc:creator>
  <dc:description/>
  <dc:language>en-US</dc:language>
  <cp:lastModifiedBy/>
  <dcterms:modified xsi:type="dcterms:W3CDTF">2026-09-29T11:29:00Z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